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ктивисты" sheetId="1" r:id="rId5"/>
    <sheet state="visible" name="Джуны" sheetId="2" r:id="rId6"/>
    <sheet state="visible" name="Списки блоков" sheetId="3" r:id="rId7"/>
    <sheet state="visible" name="Архив " sheetId="4" r:id="rId8"/>
  </sheets>
  <definedNames/>
  <calcPr/>
</workbook>
</file>

<file path=xl/sharedStrings.xml><?xml version="1.0" encoding="utf-8"?>
<sst xmlns="http://schemas.openxmlformats.org/spreadsheetml/2006/main" count="3813" uniqueCount="2940">
  <si>
    <t>ФИО</t>
  </si>
  <si>
    <t>Имя ККР</t>
  </si>
  <si>
    <t>Номер группы</t>
  </si>
  <si>
    <t>Место жительства</t>
  </si>
  <si>
    <t>Блоки</t>
  </si>
  <si>
    <t>Телефон</t>
  </si>
  <si>
    <t>ВК</t>
  </si>
  <si>
    <t>Telegram</t>
  </si>
  <si>
    <t>Почта</t>
  </si>
  <si>
    <t>Форма обучения</t>
  </si>
  <si>
    <t>Авагян Армен Каренович</t>
  </si>
  <si>
    <t>Метро Озерная</t>
  </si>
  <si>
    <t>https://vk.com/aksel2</t>
  </si>
  <si>
    <t>t.me/aksel2</t>
  </si>
  <si>
    <t>armen0162@gmail.com</t>
  </si>
  <si>
    <t>Контракт</t>
  </si>
  <si>
    <t>Алексеева Алена Алексеевна</t>
  </si>
  <si>
    <t>Алексеева Алена(old)</t>
  </si>
  <si>
    <t>м. Шипиловская</t>
  </si>
  <si>
    <t>https://vk.com/vrodealyona</t>
  </si>
  <si>
    <t>@megagnom111</t>
  </si>
  <si>
    <t>alenushka2507@gmail.com</t>
  </si>
  <si>
    <t>Бюджет</t>
  </si>
  <si>
    <t>Алексеева Алена Игоревна</t>
  </si>
  <si>
    <t>Алексеева Алена(new)</t>
  </si>
  <si>
    <t xml:space="preserve">Одинцово, Садовая 28а </t>
  </si>
  <si>
    <t>https://vk.com/olenenok1108</t>
  </si>
  <si>
    <t>t.me/Alionka1108</t>
  </si>
  <si>
    <t>alena.alekseeva.1108@gmail.com</t>
  </si>
  <si>
    <t>Альтерман Лев Михайлович</t>
  </si>
  <si>
    <t>ЦСКА/Полежаевская</t>
  </si>
  <si>
    <t>https://vk.com/id246208831</t>
  </si>
  <si>
    <t>https://t.me/lev_alterman</t>
  </si>
  <si>
    <t>leva.alm@gmail.com</t>
  </si>
  <si>
    <t>Андреев Илья Андреевич</t>
  </si>
  <si>
    <t>Одинцово, Говорова 50(станция Баковка)</t>
  </si>
  <si>
    <t>https://vk.com/id819691181</t>
  </si>
  <si>
    <t>@Fantom_1324</t>
  </si>
  <si>
    <t>Andreyevilia@gmail.com</t>
  </si>
  <si>
    <t>Андреева Елена Витальевна</t>
  </si>
  <si>
    <t>Гз</t>
  </si>
  <si>
    <t>https://vk.com/sch__in</t>
  </si>
  <si>
    <t>t.me/sch_in_in</t>
  </si>
  <si>
    <t>elenaand07062004@gmail.com</t>
  </si>
  <si>
    <t>Андреков Егор Вадимович</t>
  </si>
  <si>
    <t>Щелковская</t>
  </si>
  <si>
    <t>https://vk.com/id392290846</t>
  </si>
  <si>
    <t>@e_andrekov</t>
  </si>
  <si>
    <t>e_andrekov@mail.ru</t>
  </si>
  <si>
    <t>Аристова Алла Алексеевна</t>
  </si>
  <si>
    <t>ДСЛ</t>
  </si>
  <si>
    <t>https://vk.com/allaristova</t>
  </si>
  <si>
    <t>https://t.me/allaristova</t>
  </si>
  <si>
    <t>alla.aristovaa@gmail.com</t>
  </si>
  <si>
    <t>Балакин Денис Николаевич</t>
  </si>
  <si>
    <t xml:space="preserve">Лермонтовский проспект </t>
  </si>
  <si>
    <t>https://vk.com/govna_pocket</t>
  </si>
  <si>
    <t>@gavkoshmig</t>
  </si>
  <si>
    <t>Balakindenis3@gmail.com</t>
  </si>
  <si>
    <t>Барсуков Егор Сергеевич</t>
  </si>
  <si>
    <t>+79528631032</t>
  </si>
  <si>
    <t>https://vk.ru/id557684195</t>
  </si>
  <si>
    <t>https://t.me/Finin1</t>
  </si>
  <si>
    <t>not.a.fi141@gmail.com</t>
  </si>
  <si>
    <t>Бедрин Павел Александрович</t>
  </si>
  <si>
    <t>Бибирево</t>
  </si>
  <si>
    <t>https://vk.com/pbedrin</t>
  </si>
  <si>
    <t>https://t.me/pbedrin</t>
  </si>
  <si>
    <t>s02240355@gse.cs.msu.ru</t>
  </si>
  <si>
    <t>Беппиев Георгий Игоревич</t>
  </si>
  <si>
    <t>Полежаевская/Хорошевская</t>
  </si>
  <si>
    <t>https://vk.com/pmcvmk</t>
  </si>
  <si>
    <t>https://t.me/whatatimetobe_alive</t>
  </si>
  <si>
    <t>georgy.beppiev@gmail.com</t>
  </si>
  <si>
    <t>Бодун Алена Александровна</t>
  </si>
  <si>
    <t>Бодун Алена</t>
  </si>
  <si>
    <t>М Перово</t>
  </si>
  <si>
    <t>https://vk.com/fafiuli</t>
  </si>
  <si>
    <t>@ulifafa</t>
  </si>
  <si>
    <t>alenab2312@gmail.com</t>
  </si>
  <si>
    <t xml:space="preserve">Брылева София Алексеевна </t>
  </si>
  <si>
    <t xml:space="preserve">Калужская </t>
  </si>
  <si>
    <t>https://vk.ru/id349973300</t>
  </si>
  <si>
    <t>t.me/bsofaa</t>
  </si>
  <si>
    <t>brylevasofia7@gmail.com</t>
  </si>
  <si>
    <t>Булкин Антон Павлович</t>
  </si>
  <si>
    <t>ДС Б1533п</t>
  </si>
  <si>
    <t>https://vk.com/pochtichekhov</t>
  </si>
  <si>
    <t>@pochti_chekhov</t>
  </si>
  <si>
    <t>bulkin261@gmail.com</t>
  </si>
  <si>
    <t>Валиев Радмир Рамильевич</t>
  </si>
  <si>
    <t>https://vk.com/joyoftheworld</t>
  </si>
  <si>
    <t>https://t.me/radmyaus</t>
  </si>
  <si>
    <t>vradmir2007@gmail.com</t>
  </si>
  <si>
    <t>Веревкин Илья Александрович</t>
  </si>
  <si>
    <t>марьина роща</t>
  </si>
  <si>
    <t>https://vk.com/endrezza</t>
  </si>
  <si>
    <t>@zerenicca</t>
  </si>
  <si>
    <t>endrezza@mail.ru</t>
  </si>
  <si>
    <t>Винокуров Кирилл Владимирович</t>
  </si>
  <si>
    <t>Бабушкинская</t>
  </si>
  <si>
    <t>https://vk.com/winesm0ker</t>
  </si>
  <si>
    <t>@WineSm0ker</t>
  </si>
  <si>
    <t>kirikvin8490@gmail.com</t>
  </si>
  <si>
    <t>Вожга Маргарита Михайловна</t>
  </si>
  <si>
    <t>Аэропорт</t>
  </si>
  <si>
    <t>https://vk.com/vozhgar</t>
  </si>
  <si>
    <t>@vozhgar</t>
  </si>
  <si>
    <t>vozhga.rita@gmail.com</t>
  </si>
  <si>
    <t>Воробьев Артем Андреевич</t>
  </si>
  <si>
    <t>Воробьев Артем</t>
  </si>
  <si>
    <t>Москва, метро Раменки</t>
  </si>
  <si>
    <t>https://vk.com/arterics</t>
  </si>
  <si>
    <t>https://t.me/V_Arterics</t>
  </si>
  <si>
    <t>vorobiev.artem07@gmail.com</t>
  </si>
  <si>
    <t>Габриелян Арина Аристакесовна</t>
  </si>
  <si>
    <t>-</t>
  </si>
  <si>
    <t>@justintrovert</t>
  </si>
  <si>
    <t>@i_am_syclik</t>
  </si>
  <si>
    <t>arihag2005@gmail.com</t>
  </si>
  <si>
    <t>Глазунов Матвей Александрович</t>
  </si>
  <si>
    <t>+79878170134</t>
  </si>
  <si>
    <t>vk.com/matvec21</t>
  </si>
  <si>
    <t>t.me/matvec21</t>
  </si>
  <si>
    <t>glazunov.matveu.05@gmail.com</t>
  </si>
  <si>
    <t>Глущенко Анна Сергеевна</t>
  </si>
  <si>
    <t>Красногвардейская</t>
  </si>
  <si>
    <t>https://vk.com/a.glu2005</t>
  </si>
  <si>
    <t>@gl_anetta</t>
  </si>
  <si>
    <t>annaglushchenko2005@gmail.com</t>
  </si>
  <si>
    <t>Гребеньков Максим Леонидович</t>
  </si>
  <si>
    <t>ДСЛ А726</t>
  </si>
  <si>
    <t>https://vk.com/ownage17</t>
  </si>
  <si>
    <t>@ownage17</t>
  </si>
  <si>
    <t>mlgrebenkov@gmail.com</t>
  </si>
  <si>
    <t>Григорьев Александр Сергеевич</t>
  </si>
  <si>
    <t xml:space="preserve">ДСЛ </t>
  </si>
  <si>
    <t>https://vk.com/rCronus</t>
  </si>
  <si>
    <t>@rCronus</t>
  </si>
  <si>
    <t>optimus172006@gmail.com</t>
  </si>
  <si>
    <t>Гудов Дмитрий Олегович</t>
  </si>
  <si>
    <t>ДСЛ, Б614</t>
  </si>
  <si>
    <t>@gudov2015</t>
  </si>
  <si>
    <t>@kr0sh_512</t>
  </si>
  <si>
    <t>dimagudov2@gmail.com</t>
  </si>
  <si>
    <t>Гуртовая Зоя Павловна</t>
  </si>
  <si>
    <t>https://vk.com/zoyagurtovaya</t>
  </si>
  <si>
    <t xml:space="preserve">Zoykka </t>
  </si>
  <si>
    <t>zoagurtovaa10@gmail.com</t>
  </si>
  <si>
    <t>Денисов Егор Александрович</t>
  </si>
  <si>
    <t>ГЗ МГУ</t>
  </si>
  <si>
    <t>https://vk.com/i_d0nt_care_at_all</t>
  </si>
  <si>
    <t>@n0_fucking_way</t>
  </si>
  <si>
    <t>eadenisoff@gmail.com</t>
  </si>
  <si>
    <t>Джиоев Владимир Аланович</t>
  </si>
  <si>
    <t>Метро Новые Черемушки</t>
  </si>
  <si>
    <t>https://vk.com/vovagramm</t>
  </si>
  <si>
    <t>@djioty</t>
  </si>
  <si>
    <t>vova.gioev566@gmail.com, а так основная почта i@vvgrmm.ru</t>
  </si>
  <si>
    <t>Диденко София Максимовна</t>
  </si>
  <si>
    <t>Селигерская</t>
  </si>
  <si>
    <t>@lommelykt</t>
  </si>
  <si>
    <t>@Microhylidae</t>
  </si>
  <si>
    <t>sofochkadi@gmail.com</t>
  </si>
  <si>
    <t>Древаль Ксения Евгеньевна</t>
  </si>
  <si>
    <t>Метро Пионерская или Славянский бульвар</t>
  </si>
  <si>
    <t>https://vk.com/inochinikirawareteiru</t>
  </si>
  <si>
    <t>t.me/not_ksesha</t>
  </si>
  <si>
    <t>ksu.dreval@gmail.com</t>
  </si>
  <si>
    <t>Елесин Евгений Валерьевич</t>
  </si>
  <si>
    <t>Нагатинская</t>
  </si>
  <si>
    <t>https://m.vk.com/evgen.elesin</t>
  </si>
  <si>
    <t>@elesin_e</t>
  </si>
  <si>
    <t>elesin.ev</t>
  </si>
  <si>
    <t>Ефремова Ирина Дмитриевна</t>
  </si>
  <si>
    <t>мцд Химки</t>
  </si>
  <si>
    <t>https://vk.com/rise13167</t>
  </si>
  <si>
    <t>https://t.me/rise13167</t>
  </si>
  <si>
    <t>riseefre@gmail.com</t>
  </si>
  <si>
    <t>Жигалова Екатерина Валерьевна</t>
  </si>
  <si>
    <t>https://vk.com/little.dragonn</t>
  </si>
  <si>
    <t>@little_dragon2611</t>
  </si>
  <si>
    <t>Katyyyya2611@yandex.ru</t>
  </si>
  <si>
    <t>Жукова Наталия Дмитриевна</t>
  </si>
  <si>
    <t>Дсл</t>
  </si>
  <si>
    <t>vk.com/natttttttttttt</t>
  </si>
  <si>
    <t>@tuzikkkkk</t>
  </si>
  <si>
    <t>nataliazukova763@gmail.com</t>
  </si>
  <si>
    <t>Журавков Даниил Дмитриевич</t>
  </si>
  <si>
    <t>м. ольховая</t>
  </si>
  <si>
    <t>fidbess</t>
  </si>
  <si>
    <t>@fidbess</t>
  </si>
  <si>
    <t>s02240137@gse.cs.msu.ru</t>
  </si>
  <si>
    <t>Журавков Денис Дмитриевич</t>
  </si>
  <si>
    <t>Ольховая</t>
  </si>
  <si>
    <t>vk.com/redden19</t>
  </si>
  <si>
    <t>@rvddn</t>
  </si>
  <si>
    <t>denis_zhuravkov@rambler.ru</t>
  </si>
  <si>
    <t>Журавлева Светлана Викторовна</t>
  </si>
  <si>
    <t>щелковская</t>
  </si>
  <si>
    <t>https://vk.com/svetazhurr</t>
  </si>
  <si>
    <t>@zhurrs</t>
  </si>
  <si>
    <t>svetazhur6@gmail.com</t>
  </si>
  <si>
    <t>Загатин Даниил Ильич</t>
  </si>
  <si>
    <t xml:space="preserve">Метро Борисово </t>
  </si>
  <si>
    <t>https://vk.com/daniilzagatin</t>
  </si>
  <si>
    <t xml:space="preserve">t.me/ZagatinDaniil </t>
  </si>
  <si>
    <t>dan.zagatinr@gmail.com</t>
  </si>
  <si>
    <t xml:space="preserve">Зайцев Арсений Владимирович </t>
  </si>
  <si>
    <t>Смоленская</t>
  </si>
  <si>
    <t>vk.com/jazzazello</t>
  </si>
  <si>
    <t>t.me/jazzazello</t>
  </si>
  <si>
    <t>lufi.2023@gmail.com</t>
  </si>
  <si>
    <t>Зайцева Яна Сергеевна</t>
  </si>
  <si>
    <t>м. Белорусская/Динамо</t>
  </si>
  <si>
    <t>https://vk.com/id124408879</t>
  </si>
  <si>
    <t>@yana_zaytseva28</t>
  </si>
  <si>
    <t>1878586@gmail.com</t>
  </si>
  <si>
    <t>Захаркина Юлия Алексеевна</t>
  </si>
  <si>
    <t xml:space="preserve">Станция метро Котельники </t>
  </si>
  <si>
    <t>https://vk.com/id557099009</t>
  </si>
  <si>
    <t>@xa_Y3gO</t>
  </si>
  <si>
    <t>zakharkinayua@gmail.com</t>
  </si>
  <si>
    <t>Зорин Михаил Иванович</t>
  </si>
  <si>
    <t>ДСЛ, ломоносовский проспект 27к11, Б725</t>
  </si>
  <si>
    <t>https://vk.com/mmmzoro</t>
  </si>
  <si>
    <t>https://t.me/z30rro</t>
  </si>
  <si>
    <t>mishka395648@gmail.com</t>
  </si>
  <si>
    <t>Игинашева Вероника Сергеевна</t>
  </si>
  <si>
    <t>https://vk.com/veronika.great</t>
  </si>
  <si>
    <t>@nikoletta007</t>
  </si>
  <si>
    <t>Veronika.iginasheva@gmail.com</t>
  </si>
  <si>
    <t>Ильин Артем Дмитриевич</t>
  </si>
  <si>
    <t>Ильин Артем</t>
  </si>
  <si>
    <t>Проспект Вернадского</t>
  </si>
  <si>
    <t>https://vk.com/universe103</t>
  </si>
  <si>
    <t>@CULTOFD</t>
  </si>
  <si>
    <t>Artem.ilin.0405@gmail.com</t>
  </si>
  <si>
    <t>Казарян Тигран Ашотович</t>
  </si>
  <si>
    <t>https://vk.com/id332309086</t>
  </si>
  <si>
    <t>t.me/mccfluriee</t>
  </si>
  <si>
    <t>t.ghazaryan147@gmail.com</t>
  </si>
  <si>
    <t>Касаткин Максим Алексеевич</t>
  </si>
  <si>
    <t>+7 (999) 283-17-23</t>
  </si>
  <si>
    <t>https://vk.ru/kasmaxim</t>
  </si>
  <si>
    <t>https://t.me/kasmaxim</t>
  </si>
  <si>
    <t>mr.kasatkinma@gmail.com</t>
  </si>
  <si>
    <t>Кашкин Роман Алексеевич</t>
  </si>
  <si>
    <t xml:space="preserve">Метро Ломоносовский проспект </t>
  </si>
  <si>
    <t>https://vk.com/nuxai_bebrur</t>
  </si>
  <si>
    <t>@Kashkin_RA</t>
  </si>
  <si>
    <t>dartberror@gmail.com</t>
  </si>
  <si>
    <t>Кизласова Маргарита Сергеевна</t>
  </si>
  <si>
    <t>https://vk.com/margarita.kizl</t>
  </si>
  <si>
    <t>@marmarkiz</t>
  </si>
  <si>
    <t>margo555cat@gmail.com</t>
  </si>
  <si>
    <t>Коднир Михаил Леонидович</t>
  </si>
  <si>
    <t>М. ВДНХ</t>
  </si>
  <si>
    <t>https://vk.com/m1sh2ka</t>
  </si>
  <si>
    <t>@M1sh2ka</t>
  </si>
  <si>
    <t>master1555se@gmail.com</t>
  </si>
  <si>
    <t>Кожевникова Мария Владимировна</t>
  </si>
  <si>
    <t>МО,г.Королев, станция Подлипки-Дачные</t>
  </si>
  <si>
    <t>https://vk.com/obitelmashaka</t>
  </si>
  <si>
    <t>@Obitel_Mashaka</t>
  </si>
  <si>
    <t>kozhmasha06@gmail.com</t>
  </si>
  <si>
    <t>Кокорев Петр Михайлович</t>
  </si>
  <si>
    <t>метро Крылатское</t>
  </si>
  <si>
    <t>https://vk.com/kokorevpp</t>
  </si>
  <si>
    <t>@kokorevvv</t>
  </si>
  <si>
    <t>kokorevpp@gmail.com</t>
  </si>
  <si>
    <t>Концевая Александра Дмитриевна</t>
  </si>
  <si>
    <t>Беляево</t>
  </si>
  <si>
    <t>https://vk.com/a.sashka123</t>
  </si>
  <si>
    <t>@aleksashkaaXD</t>
  </si>
  <si>
    <t>Alex.koncevil@mail.ru</t>
  </si>
  <si>
    <t>Корж Евгения Юрьевна</t>
  </si>
  <si>
    <t>ст. метро Войковская</t>
  </si>
  <si>
    <t>https://vk.com/evawinter_k</t>
  </si>
  <si>
    <t>https://t.me/EvaWinter_k</t>
  </si>
  <si>
    <t>eva.korzh.05@mail.ru</t>
  </si>
  <si>
    <t>Коробкина Мария Владимировна</t>
  </si>
  <si>
    <t>https://vk.com/k.mariette</t>
  </si>
  <si>
    <t>t.me/mariakorobkina</t>
  </si>
  <si>
    <t>mariakorobkina458@gmail.com</t>
  </si>
  <si>
    <t>Котляревская Анна Евгеньевна</t>
  </si>
  <si>
    <t>https://vk.com/whoami07</t>
  </si>
  <si>
    <t>t.me/an_kto</t>
  </si>
  <si>
    <t>kotliarevskaiaanya@gmail.com</t>
  </si>
  <si>
    <t>Коцин Антон Олегович</t>
  </si>
  <si>
    <t>Ботанический сад</t>
  </si>
  <si>
    <t>https://vk.com/xddtzxaa</t>
  </si>
  <si>
    <t>@xddtzxaa</t>
  </si>
  <si>
    <t>anton.kotsin@gmail.com</t>
  </si>
  <si>
    <t>Кочеткова Маргарита Сергеевна</t>
  </si>
  <si>
    <t>https://vk.com/margokoch</t>
  </si>
  <si>
    <t>@margoretta</t>
  </si>
  <si>
    <t>margo.koch.2006@gmail.com</t>
  </si>
  <si>
    <t>Кужагильдин Богдан Булатович</t>
  </si>
  <si>
    <t>vk.com/papa_katsuu</t>
  </si>
  <si>
    <t>t.me/marr0xx</t>
  </si>
  <si>
    <t>bogdanplay922@gmail.com</t>
  </si>
  <si>
    <t>Кузовлева Виктория Андреевна</t>
  </si>
  <si>
    <t>Медведково</t>
  </si>
  <si>
    <t>https://vk.com/astvic</t>
  </si>
  <si>
    <t>@astviori</t>
  </si>
  <si>
    <t>astvicori@gmail.com</t>
  </si>
  <si>
    <t>Кузьмина Елизавета Васильевна</t>
  </si>
  <si>
    <t xml:space="preserve">ГЗ </t>
  </si>
  <si>
    <t>https://vk.com/domovenokkkuzya</t>
  </si>
  <si>
    <t>@domovenokkkuzya</t>
  </si>
  <si>
    <t>Kuzminaev.289@gmail.com</t>
  </si>
  <si>
    <t>Кукузей Никита Александрович</t>
  </si>
  <si>
    <t>Потапово</t>
  </si>
  <si>
    <t>@nikitakukuzey</t>
  </si>
  <si>
    <t>@Nikita_Kukuzey</t>
  </si>
  <si>
    <t>kukuzey.n.a@gmail.com</t>
  </si>
  <si>
    <t>Куликов Артем Александрович</t>
  </si>
  <si>
    <t>Куликов Артем</t>
  </si>
  <si>
    <t>м. Ломоносовский проспект</t>
  </si>
  <si>
    <t>https://vk.com/kulikov_artem204</t>
  </si>
  <si>
    <t>https://t.me/artkul204</t>
  </si>
  <si>
    <t>artkul204@gmail.com</t>
  </si>
  <si>
    <t xml:space="preserve">Куницкий Даниил Сергеевич </t>
  </si>
  <si>
    <t>Метро Юго-западная</t>
  </si>
  <si>
    <t>https://vk.ru/kunitskiy_7</t>
  </si>
  <si>
    <t>t.me/Kunitsky_23</t>
  </si>
  <si>
    <t>danmarten23@gmail.com</t>
  </si>
  <si>
    <t>Кураева Валентина Евгеньевна</t>
  </si>
  <si>
    <t>https://vk.com/klevoeimmya</t>
  </si>
  <si>
    <t>https://t.me/Vakuraeva</t>
  </si>
  <si>
    <t>vakuraeva@gmail.com</t>
  </si>
  <si>
    <t>Курбанов Арслан Азатович</t>
  </si>
  <si>
    <t>https://vk.com/ars4iko</t>
  </si>
  <si>
    <t>https://t.me/ARSLANKU</t>
  </si>
  <si>
    <t>kurbanovarslan228@gmail.com</t>
  </si>
  <si>
    <t>Курганский Леонид Олегович</t>
  </si>
  <si>
    <t>Дс</t>
  </si>
  <si>
    <t>https://vk.com/p.volokusha</t>
  </si>
  <si>
    <t>@Locus_poc</t>
  </si>
  <si>
    <t>Kurganskiyy.leonid@gmail.com</t>
  </si>
  <si>
    <t>Лазарев Глеб Альбертович</t>
  </si>
  <si>
    <t>г.о. Красногорск, Подмосковный б-р 6., метро Мякинино</t>
  </si>
  <si>
    <t>+79999889210</t>
  </si>
  <si>
    <t>https://m.vk.com/unrealeye</t>
  </si>
  <si>
    <t>t.me/maminanejnost</t>
  </si>
  <si>
    <t>xleagled180@gmail.com</t>
  </si>
  <si>
    <t>Ларин Святослав Алексеевич</t>
  </si>
  <si>
    <t>Спартак</t>
  </si>
  <si>
    <t>+7 922 799 40 18</t>
  </si>
  <si>
    <t>https://vk.ru/cveticsemecvetic</t>
  </si>
  <si>
    <t>https://t.me/cveticsemecvetic</t>
  </si>
  <si>
    <t>Salarin2006@gmail.com</t>
  </si>
  <si>
    <t>Лебедев Иван Александрович</t>
  </si>
  <si>
    <t>м. Аминьевская</t>
  </si>
  <si>
    <t>vk.com/lebeda_vanya</t>
  </si>
  <si>
    <t>@i_lebeda</t>
  </si>
  <si>
    <t>lebeda3636@gmail.com</t>
  </si>
  <si>
    <t>Лепик Виктор Васильевич</t>
  </si>
  <si>
    <t>ПРОФСОЮЗНАЯ</t>
  </si>
  <si>
    <t>lepik2000</t>
  </si>
  <si>
    <t>victorlep</t>
  </si>
  <si>
    <t>viktorino12551@gmail.com</t>
  </si>
  <si>
    <t>Логвинова Мария Максимовна</t>
  </si>
  <si>
    <t>https://vk.com/maria_logg</t>
  </si>
  <si>
    <t>@more_logical</t>
  </si>
  <si>
    <t>maria.logvinova05@gmail.com</t>
  </si>
  <si>
    <t>Лукинова Мария Андреевна</t>
  </si>
  <si>
    <t>метро ЦСКА</t>
  </si>
  <si>
    <t>https://vk.com/luma_07</t>
  </si>
  <si>
    <t>https://t.me/luma_07</t>
  </si>
  <si>
    <t>mariaalukinova@gmail.com</t>
  </si>
  <si>
    <t>Лякина Юлия Сергеевна</t>
  </si>
  <si>
    <t>ДСЛ, Б-838</t>
  </si>
  <si>
    <t>https://vk.com/id_qween_sarkazm</t>
  </si>
  <si>
    <t>@Cruchu_yulU</t>
  </si>
  <si>
    <t>julialyakina76@gmail.ru</t>
  </si>
  <si>
    <t>Малахов Александр Андреевич</t>
  </si>
  <si>
    <t>ДС (ГЗ)</t>
  </si>
  <si>
    <t>https://vk.com/v1sp1</t>
  </si>
  <si>
    <t>@Vispi0_o</t>
  </si>
  <si>
    <t>s02250483@gse.cs.msu.ru</t>
  </si>
  <si>
    <t>Мальчевский Степан Алексеевич</t>
  </si>
  <si>
    <t>Б1304пр</t>
  </si>
  <si>
    <t>vk.com/your_dark_halfy</t>
  </si>
  <si>
    <t>t.me/usamstudent</t>
  </si>
  <si>
    <t>usamstudent21@gmail.com</t>
  </si>
  <si>
    <t>Матвиенко Варвара Максимовна</t>
  </si>
  <si>
    <t>https://vk.com/varanm</t>
  </si>
  <si>
    <t>@Varya_Matvi</t>
  </si>
  <si>
    <t>varvara.paranixa3@gmail.com</t>
  </si>
  <si>
    <t>Мельдианов Лев Ильич</t>
  </si>
  <si>
    <t>м. Щукинская</t>
  </si>
  <si>
    <t>https://vk.com/levmeld</t>
  </si>
  <si>
    <t>t.me/LevMel</t>
  </si>
  <si>
    <t>levmeldianov01@gmail.com</t>
  </si>
  <si>
    <t>Минько Елисавета Сергеевна</t>
  </si>
  <si>
    <t xml:space="preserve">м. Парк Победы </t>
  </si>
  <si>
    <t>https://vk.com/lisaminko</t>
  </si>
  <si>
    <t>@lisaminko</t>
  </si>
  <si>
    <t>Lisaminko28@gmail.com</t>
  </si>
  <si>
    <t>Митрофанов Андрей Сергеевич</t>
  </si>
  <si>
    <t xml:space="preserve">Апрелевка </t>
  </si>
  <si>
    <t>vk.com/mitand13</t>
  </si>
  <si>
    <t>@MitAnd13</t>
  </si>
  <si>
    <t>a.mitrofanov.1270@gmail.com</t>
  </si>
  <si>
    <t>Митькиных Мария Алексеевна</t>
  </si>
  <si>
    <t>Спортивная</t>
  </si>
  <si>
    <t>https://vk.com/typapypaa</t>
  </si>
  <si>
    <t>https://t.me/typapypaa</t>
  </si>
  <si>
    <t>mariamitki07@gmail.com</t>
  </si>
  <si>
    <t>Мозжухин Александр Васильевич</t>
  </si>
  <si>
    <t>ГЗ Б1257л (также МЦД2 Опалиха)</t>
  </si>
  <si>
    <t>https://vk.com/aleks_mozzhukhin</t>
  </si>
  <si>
    <t>t.me/aleksandr_mozzhukhin</t>
  </si>
  <si>
    <t>mozhuhin71@gmail.com</t>
  </si>
  <si>
    <t>Моисеев Даниил Александрович</t>
  </si>
  <si>
    <t>Общежитие ДСЛ</t>
  </si>
  <si>
    <t>https://vk.com/id637253494</t>
  </si>
  <si>
    <t xml:space="preserve">@tuulenu </t>
  </si>
  <si>
    <t>daniildantes25@gmail.com</t>
  </si>
  <si>
    <t>Морозова Виктория Егоровна</t>
  </si>
  <si>
    <t>ГЗ (корпус Б)</t>
  </si>
  <si>
    <t>https://vk.com/sishis</t>
  </si>
  <si>
    <t>t.me/tuulenu</t>
  </si>
  <si>
    <t>lipatovavika81@gmail.com</t>
  </si>
  <si>
    <t>Мухтаров Азамат Фарходович</t>
  </si>
  <si>
    <t>https://vk.com/kot246</t>
  </si>
  <si>
    <t>@kot246</t>
  </si>
  <si>
    <t>arthurhastings56@gmail.com</t>
  </si>
  <si>
    <t>Найденова Дария Михайловна</t>
  </si>
  <si>
    <t>М. Мичуринский проспект</t>
  </si>
  <si>
    <t>https://vk.com/yomso_imnida</t>
  </si>
  <si>
    <t>@yomso_imnida</t>
  </si>
  <si>
    <t>st02220039@gse.cs.msu.ru</t>
  </si>
  <si>
    <t>Никитина София-Мария Игоревна</t>
  </si>
  <si>
    <t>Домодедовская</t>
  </si>
  <si>
    <t>https://m.vk.com/sofmary</t>
  </si>
  <si>
    <t>@sofmary</t>
  </si>
  <si>
    <t>s02250202@gse.cs.msu.ru</t>
  </si>
  <si>
    <t>Новикова Юлия Александровна</t>
  </si>
  <si>
    <t>319/1</t>
  </si>
  <si>
    <t>@janeair2004</t>
  </si>
  <si>
    <t>@kasatka0</t>
  </si>
  <si>
    <t>novyule4ka@gmail.com</t>
  </si>
  <si>
    <t>Новоселов Степан Александрович</t>
  </si>
  <si>
    <t>Ясенево</t>
  </si>
  <si>
    <t>https://vk.ru/stepannovoselov</t>
  </si>
  <si>
    <t>t.me/stpnnr</t>
  </si>
  <si>
    <t>stepannovoselov79@gmail.com</t>
  </si>
  <si>
    <t>Обрядчикова Анастасия Романовна</t>
  </si>
  <si>
    <t>https://vk.com/slishkom_zanita</t>
  </si>
  <si>
    <t>@obryadchikova_tg</t>
  </si>
  <si>
    <t>s02250512@gse.cs.msu.ru</t>
  </si>
  <si>
    <t>Овсянникова Софья Алексеевна</t>
  </si>
  <si>
    <t>метро Коломенская</t>
  </si>
  <si>
    <t>https://vk.com/justosa</t>
  </si>
  <si>
    <t>t.me/sofyaovsyannikova</t>
  </si>
  <si>
    <t>alokaziya05@gmail.com</t>
  </si>
  <si>
    <t>Огай Владислав Леонидович</t>
  </si>
  <si>
    <t>https://vk.com/o.vladisluvv</t>
  </si>
  <si>
    <t>@ovladisluvv</t>
  </si>
  <si>
    <t>s02230206@gse.cs.msu.ru</t>
  </si>
  <si>
    <t>Орен Сюлейман Салих Хюсейинович</t>
  </si>
  <si>
    <t>ДСЛ, А0825</t>
  </si>
  <si>
    <t>https://vk.com/sulikcs</t>
  </si>
  <si>
    <t>https://t.me/sulikcs</t>
  </si>
  <si>
    <t>orensuleyman03@gmail.com</t>
  </si>
  <si>
    <t>Островский Алексей Дмитриевич</t>
  </si>
  <si>
    <t>ДС МГУ</t>
  </si>
  <si>
    <t>+79235762003</t>
  </si>
  <si>
    <t>@good_s0up</t>
  </si>
  <si>
    <t>@super_truper</t>
  </si>
  <si>
    <t>s02250521@gse.cs.msu.ru</t>
  </si>
  <si>
    <t>Павлов Егор Анатольевич</t>
  </si>
  <si>
    <t xml:space="preserve">М. Владыкино </t>
  </si>
  <si>
    <t>https://vk.com/parapaparu</t>
  </si>
  <si>
    <t>https://t.me/parapaparu</t>
  </si>
  <si>
    <t>s02250211@gse.cs.msu.ru</t>
  </si>
  <si>
    <t>Панкин Дмитрий Алексеевич</t>
  </si>
  <si>
    <t>Тропарево</t>
  </si>
  <si>
    <t>https://vk.com/dimpank</t>
  </si>
  <si>
    <t>@nikafuu</t>
  </si>
  <si>
    <t>venhic2287772282017z@gmail.com</t>
  </si>
  <si>
    <t>Панов Данила Дмитриевич</t>
  </si>
  <si>
    <t>ГЗ Б1430</t>
  </si>
  <si>
    <t>@astroboy</t>
  </si>
  <si>
    <t>@dannyy_boyy</t>
  </si>
  <si>
    <t>panda.nya.170300@gmail.com</t>
  </si>
  <si>
    <t>Панфилова Арина Павловна</t>
  </si>
  <si>
    <t>https://m.vk.com/fairiefaiza</t>
  </si>
  <si>
    <t>https://t.me/ttenkos</t>
  </si>
  <si>
    <t>arisha.panfilova@gmail.com</t>
  </si>
  <si>
    <t>Пелевина Виктория Сергеевна</t>
  </si>
  <si>
    <t>https://vk.com/vickydoll</t>
  </si>
  <si>
    <t>@vikidoll15</t>
  </si>
  <si>
    <t>vika100484@gmail.com</t>
  </si>
  <si>
    <t>Пескова Карина Олеговна</t>
  </si>
  <si>
    <t>ДСЛ А805</t>
  </si>
  <si>
    <t>https://vk.com/aka_pesok</t>
  </si>
  <si>
    <t>@peskova.kar</t>
  </si>
  <si>
    <t>karina.peskova2018@yandex.ru</t>
  </si>
  <si>
    <t>Плинский Максим Евегньевич</t>
  </si>
  <si>
    <t>Марьина роща</t>
  </si>
  <si>
    <t>https://vk.com/id593749334</t>
  </si>
  <si>
    <t>@plinmax</t>
  </si>
  <si>
    <t>s02230033@gse.cs.msu.ru</t>
  </si>
  <si>
    <t>Подъяблонский Егор Петрович</t>
  </si>
  <si>
    <t>м. Академическая</t>
  </si>
  <si>
    <t>https://vk.com/pardee</t>
  </si>
  <si>
    <t>t.me/pardee_sss</t>
  </si>
  <si>
    <t>egorpo005@gmail.com</t>
  </si>
  <si>
    <t>Полторак Сергей Андреевич</t>
  </si>
  <si>
    <t>Мытищи</t>
  </si>
  <si>
    <t>+79153506997</t>
  </si>
  <si>
    <t>vk.com/sergeypltrk</t>
  </si>
  <si>
    <t>t.me/Sergey_Poltorak</t>
  </si>
  <si>
    <t>sergey.poltorak.main@gmail.com</t>
  </si>
  <si>
    <t>Полянин Даниил Денисович</t>
  </si>
  <si>
    <t>vk.com/pdaniil178</t>
  </si>
  <si>
    <t>t.me/pdaniil178</t>
  </si>
  <si>
    <t>esmadani178@gmail.com</t>
  </si>
  <si>
    <t>Попова Мария Андреевна</t>
  </si>
  <si>
    <t>м Чертановская</t>
  </si>
  <si>
    <t>@bul_pelmeshka</t>
  </si>
  <si>
    <t xml:space="preserve"> @maniarochka</t>
  </si>
  <si>
    <t>maniarochka@gmail.com</t>
  </si>
  <si>
    <t>Прокофьева Екатерина Александровна</t>
  </si>
  <si>
    <t>Славянский бульвар</t>
  </si>
  <si>
    <t>https://vk.com/opoz0n</t>
  </si>
  <si>
    <t>@opozonchik</t>
  </si>
  <si>
    <t>yekaterina_1994@internet.ru</t>
  </si>
  <si>
    <t>Пугин Павел Андреевич</t>
  </si>
  <si>
    <t>@totalnyglinomes</t>
  </si>
  <si>
    <t>@svyatoypelmen</t>
  </si>
  <si>
    <t>pavpugin27@gmail.com</t>
  </si>
  <si>
    <t>Разумова Любовь Дмитриевна</t>
  </si>
  <si>
    <t>рязанский проспект</t>
  </si>
  <si>
    <t>https://vk.com/b.a.lyu_r</t>
  </si>
  <si>
    <t>http://t.me/razumova_lb</t>
  </si>
  <si>
    <t>razumovalb11@gmail.com</t>
  </si>
  <si>
    <t>Ратова Ярослава Юрьевна</t>
  </si>
  <si>
    <t>@yasia3339</t>
  </si>
  <si>
    <t>@Yasya227</t>
  </si>
  <si>
    <t xml:space="preserve">s02230230@gse.cs.msu.ru </t>
  </si>
  <si>
    <t>Ренкас Владислав Вячеславович</t>
  </si>
  <si>
    <t>М. Лесопарковая</t>
  </si>
  <si>
    <t>https://vk.com/renkasvmk</t>
  </si>
  <si>
    <t>@V_lad_M_ren_K_as</t>
  </si>
  <si>
    <t>Enofin7@gmail.com</t>
  </si>
  <si>
    <t>Ровенский Михаил Юрьевич</t>
  </si>
  <si>
    <t>Сходненская</t>
  </si>
  <si>
    <t>@mrovensky</t>
  </si>
  <si>
    <t>mikhail.rovenskiy1@gmail.com</t>
  </si>
  <si>
    <t>Рогожкина Алина Дмитриевна</t>
  </si>
  <si>
    <t>Пятницкое шоссе</t>
  </si>
  <si>
    <t>@rogozhkina_ad</t>
  </si>
  <si>
    <t>@rogozhkinaAD</t>
  </si>
  <si>
    <t>alinochka.rog@gmail.com</t>
  </si>
  <si>
    <t>Румянцева Мария Максимовна</t>
  </si>
  <si>
    <t>https://vk.ru/masha_lw</t>
  </si>
  <si>
    <t>https://t.me/masha_lw</t>
  </si>
  <si>
    <t>mariar678800@gmail.com</t>
  </si>
  <si>
    <t>Рурак Роман</t>
  </si>
  <si>
    <t xml:space="preserve">МЦД Внуково/м. Технопарк </t>
  </si>
  <si>
    <t>https://vk.com/darkmtl</t>
  </si>
  <si>
    <t>@darkmtl1</t>
  </si>
  <si>
    <t>romarurac355@gmail.com</t>
  </si>
  <si>
    <t>Рыбникова Дарья Олеговна</t>
  </si>
  <si>
    <t>м. Озерная</t>
  </si>
  <si>
    <t>https://vk.com/deathtosinners</t>
  </si>
  <si>
    <t>@doenergy</t>
  </si>
  <si>
    <t>s02220222@gse.cs.msu.ru</t>
  </si>
  <si>
    <t>Рыжикова Анастасия Дмитриевна</t>
  </si>
  <si>
    <t>Общага ГЗ</t>
  </si>
  <si>
    <t>https://vk.com/ananastasiar</t>
  </si>
  <si>
    <t>@sia_rrr</t>
  </si>
  <si>
    <t xml:space="preserve">Anastasiia.ryzhikova@gmail.com </t>
  </si>
  <si>
    <t>Рязанов Иван Александрович</t>
  </si>
  <si>
    <t>https://vk.com/diceholder</t>
  </si>
  <si>
    <t>t.me/Rostendrigs</t>
  </si>
  <si>
    <t>Profecor495@gmail.com</t>
  </si>
  <si>
    <t>Рясков Федор Михайлович</t>
  </si>
  <si>
    <t>Рясков Федор</t>
  </si>
  <si>
    <t>Бирюлево (там нет метро)</t>
  </si>
  <si>
    <t>@ferran505</t>
  </si>
  <si>
    <t>@ferrero505</t>
  </si>
  <si>
    <t>fedorryaskov@gmail.com</t>
  </si>
  <si>
    <t>Саакян Грант Руштунович</t>
  </si>
  <si>
    <t>Метро Кузьминки</t>
  </si>
  <si>
    <t>https://vk.com/saakyangrant</t>
  </si>
  <si>
    <t>@saakyan_gr</t>
  </si>
  <si>
    <t>saakyangrant2006@gmail.com</t>
  </si>
  <si>
    <t>Саратовкин Николай Михайлович</t>
  </si>
  <si>
    <t>https://vk.com/id671758971</t>
  </si>
  <si>
    <t>@Operrnick</t>
  </si>
  <si>
    <t>saratovkin@gmail.com</t>
  </si>
  <si>
    <t>Семин Максим Дмитриевич</t>
  </si>
  <si>
    <t>https://vk.com/tyzvrykave</t>
  </si>
  <si>
    <t>@tyzvrykave</t>
  </si>
  <si>
    <t>semaksim15@gmail.com</t>
  </si>
  <si>
    <t>Скабалланович Полина Алексеевна</t>
  </si>
  <si>
    <t>Кропоткинская</t>
  </si>
  <si>
    <t>https://vk.com/ostrovushkolli</t>
  </si>
  <si>
    <t>t.me/ostrovushka</t>
  </si>
  <si>
    <t>p9169996498@gmail.com</t>
  </si>
  <si>
    <t>Скаленко Юлия Павловна</t>
  </si>
  <si>
    <t>ДСЛ А820</t>
  </si>
  <si>
    <t>https://vk.com/skalenko0</t>
  </si>
  <si>
    <t>@yulya_skal</t>
  </si>
  <si>
    <t>skalenkoulia52@gmail.com</t>
  </si>
  <si>
    <t>Скотникова Елизавета Игоревна</t>
  </si>
  <si>
    <t>Люблино</t>
  </si>
  <si>
    <t>https://vk.com/sk0tnik0va</t>
  </si>
  <si>
    <t>@skotnikova_06</t>
  </si>
  <si>
    <t>skotnikova.lizochka06@gmail.com</t>
  </si>
  <si>
    <t>Слободин Дмитрий Сергеевич</t>
  </si>
  <si>
    <t>https://vk.com/d.slobodin2013</t>
  </si>
  <si>
    <t>@mrgorolom</t>
  </si>
  <si>
    <t>mrgorolom@gmail.com</t>
  </si>
  <si>
    <t>Среданович Мария Максимовна</t>
  </si>
  <si>
    <t xml:space="preserve">м. Пражская </t>
  </si>
  <si>
    <t>@sredamar</t>
  </si>
  <si>
    <t>marusys2005@gmail.com</t>
  </si>
  <si>
    <t>Стрелкина Ирина Викторовна</t>
  </si>
  <si>
    <t>Stre1kina</t>
  </si>
  <si>
    <t>Irina.s.irina.s19@gmail.com</t>
  </si>
  <si>
    <t>Суховерхов Михаил Александрович</t>
  </si>
  <si>
    <t>https://vk.com/michael5s</t>
  </si>
  <si>
    <t>https://t.me/michaell5s</t>
  </si>
  <si>
    <t>mihasuhov.alex@gmail.com</t>
  </si>
  <si>
    <t>Толстова Анна Федоровна</t>
  </si>
  <si>
    <t>ДСК</t>
  </si>
  <si>
    <t>https://vk.com/s.a.f3141592</t>
  </si>
  <si>
    <t>t.me/staf_ka04</t>
  </si>
  <si>
    <t>anna.sosulnikova04@gmail.com</t>
  </si>
  <si>
    <t>Точаева Татьяна Антоновна</t>
  </si>
  <si>
    <t>Партизанска/ДСЛ А821</t>
  </si>
  <si>
    <t>https://vk.com/skoliriant</t>
  </si>
  <si>
    <t>t.me/skoliriant</t>
  </si>
  <si>
    <t>t.tochaeva@gmail.com</t>
  </si>
  <si>
    <t>Тыцкая Екатерина Игоревна</t>
  </si>
  <si>
    <t>https://vk.com/ktkyhtam</t>
  </si>
  <si>
    <t>@Tkyww</t>
  </si>
  <si>
    <t>katyatytskaya23@gmail.com</t>
  </si>
  <si>
    <t>Утешева Екатерина Евгеньевна</t>
  </si>
  <si>
    <t>Прокшино</t>
  </si>
  <si>
    <t>https://vk.com/programmer_owl</t>
  </si>
  <si>
    <t xml:space="preserve">t.me/FukuroM </t>
  </si>
  <si>
    <t>utesheva.e.e@gmail.com</t>
  </si>
  <si>
    <t>Уткин Тимофей Романович</t>
  </si>
  <si>
    <t>Новогиреево</t>
  </si>
  <si>
    <t>https://vk.com/tualetniy_ytenok</t>
  </si>
  <si>
    <t>https://t.me/geniymover</t>
  </si>
  <si>
    <t>utkintimofej87@gmail.com</t>
  </si>
  <si>
    <t>Уткина Ульяна Сергеевна</t>
  </si>
  <si>
    <t>Нагорная</t>
  </si>
  <si>
    <t>https://vk.com/uliana_jane</t>
  </si>
  <si>
    <t>@uliana_jane</t>
  </si>
  <si>
    <t>ulyautkinaa@gmail.com</t>
  </si>
  <si>
    <t>Фомина Ольга Владимировна</t>
  </si>
  <si>
    <t>https://vk.com/olteff</t>
  </si>
  <si>
    <t>@olteff</t>
  </si>
  <si>
    <t>s02230282@gse.cs.msu.ru</t>
  </si>
  <si>
    <t>Фоминых Владимир Назарович</t>
  </si>
  <si>
    <t>ФДС</t>
  </si>
  <si>
    <t>https://vk.com/star_bond</t>
  </si>
  <si>
    <t>t.me/Bondystar</t>
  </si>
  <si>
    <t>vovafominyh469@gmail.com</t>
  </si>
  <si>
    <t>Фролова Ольга Витальевна</t>
  </si>
  <si>
    <t>ГЗ</t>
  </si>
  <si>
    <t>https://vk.com/olyansssk</t>
  </si>
  <si>
    <t>@olyanssssk</t>
  </si>
  <si>
    <t>Olyaf12309@gmail.com</t>
  </si>
  <si>
    <t>Фролова Ульяна Андреевна</t>
  </si>
  <si>
    <t>https://vk.com/ulfrolova</t>
  </si>
  <si>
    <t>@wvfuek</t>
  </si>
  <si>
    <t>ulyna.frolova@gmail.com</t>
  </si>
  <si>
    <t>Хромова Анастасия Ярославовна</t>
  </si>
  <si>
    <t>@angpshdpi</t>
  </si>
  <si>
    <t>@Gudugxgix</t>
  </si>
  <si>
    <t>nastyakhromova07@gmail.com</t>
  </si>
  <si>
    <t>Худяков Даниил Валерьевич</t>
  </si>
  <si>
    <t>530повс</t>
  </si>
  <si>
    <t>ДСЛ, Б530</t>
  </si>
  <si>
    <t>vk.com/orange_ju1ce</t>
  </si>
  <si>
    <t>@daniilssss</t>
  </si>
  <si>
    <t>hydikovv17914@gmail.com</t>
  </si>
  <si>
    <t>Цуканов Максим Валерьевич</t>
  </si>
  <si>
    <t>https://vk.com/fortunat</t>
  </si>
  <si>
    <t>@Bbbjjdjdj</t>
  </si>
  <si>
    <t>retromf182007@gmail.com</t>
  </si>
  <si>
    <t>Цыбин Семен Михайлович</t>
  </si>
  <si>
    <t>Цыбин Семен</t>
  </si>
  <si>
    <t>Отрадное</t>
  </si>
  <si>
    <t>https://vk.com/chill_ts</t>
  </si>
  <si>
    <t>@barabereberebara</t>
  </si>
  <si>
    <t>tsybinsm@gmail.com</t>
  </si>
  <si>
    <t>Чистоперов Сергей Артемович</t>
  </si>
  <si>
    <t>https://vk.com/pos5sup</t>
  </si>
  <si>
    <t>@pos5sup</t>
  </si>
  <si>
    <t>serg.chistoperov@gmail.com</t>
  </si>
  <si>
    <t>Чувпило Александр Денисович</t>
  </si>
  <si>
    <t>Аминьевская</t>
  </si>
  <si>
    <t>https://vk.com/id539139404</t>
  </si>
  <si>
    <t>https://t.me/Chuvpilo_Alexander</t>
  </si>
  <si>
    <t>sasacuvpilo@gmail.com</t>
  </si>
  <si>
    <t>Шагалиева Диана Руслановна</t>
  </si>
  <si>
    <t xml:space="preserve">Технопарк </t>
  </si>
  <si>
    <t>https://vk.com/id599683767</t>
  </si>
  <si>
    <t>t.me/Di_shr</t>
  </si>
  <si>
    <t>shagalieva.d@gmail.com</t>
  </si>
  <si>
    <t>Шадже Анзор Азаматович</t>
  </si>
  <si>
    <t>@anzorshadzhe</t>
  </si>
  <si>
    <t>@A_Sh_kd</t>
  </si>
  <si>
    <t>tayson0109@gmail.com</t>
  </si>
  <si>
    <t>Шахназарова Хадижат Ильясовна</t>
  </si>
  <si>
    <t>ДС</t>
  </si>
  <si>
    <t>https://vk.com/yanichegoneponimat</t>
  </si>
  <si>
    <t>@Telepuzikk_20</t>
  </si>
  <si>
    <t>s02220603@gse.cs.msu.ru</t>
  </si>
  <si>
    <t>Шестаков Дмитрий Дмитриевич</t>
  </si>
  <si>
    <t>https://vk.com/id646255946</t>
  </si>
  <si>
    <t>@Sh1d1GG</t>
  </si>
  <si>
    <t>mikasymik@gmail.com</t>
  </si>
  <si>
    <t>Щетинкин Георгий Дмитриевич</t>
  </si>
  <si>
    <t>Семеновская</t>
  </si>
  <si>
    <t>https://vk.com/goshashchet</t>
  </si>
  <si>
    <t>@ob9ch</t>
  </si>
  <si>
    <t>g.shchet@gmail.com</t>
  </si>
  <si>
    <t>Юлов Павел Дмитриевич</t>
  </si>
  <si>
    <t>Ломоносовский проспект 27к11</t>
  </si>
  <si>
    <t>vk.com/y.pavel</t>
  </si>
  <si>
    <t>t.me/yulov_pav</t>
  </si>
  <si>
    <t>pavel.d.yulov@gmail.com</t>
  </si>
  <si>
    <t>Ярыжева Лариса Ваховна</t>
  </si>
  <si>
    <t>М. Крылатское</t>
  </si>
  <si>
    <t>@larisayar</t>
  </si>
  <si>
    <t>@loralinaa</t>
  </si>
  <si>
    <t>Larisaaryzeva@gmail.com</t>
  </si>
  <si>
    <t>Блок</t>
  </si>
  <si>
    <t>БДНС</t>
  </si>
  <si>
    <t>Видеолаба</t>
  </si>
  <si>
    <t>Декораторы</t>
  </si>
  <si>
    <t>Дизайн</t>
  </si>
  <si>
    <t>Досуг</t>
  </si>
  <si>
    <t>Закупки</t>
  </si>
  <si>
    <t>ИнфоБлок</t>
  </si>
  <si>
    <t>КГ</t>
  </si>
  <si>
    <t>Мат. помощь</t>
  </si>
  <si>
    <t>Профорги</t>
  </si>
  <si>
    <t>Спонсоры</t>
  </si>
  <si>
    <t>Склад</t>
  </si>
  <si>
    <t>Сценаристы</t>
  </si>
  <si>
    <t>Техники</t>
  </si>
  <si>
    <t>УРЭС</t>
  </si>
  <si>
    <t>Фото</t>
  </si>
  <si>
    <t>HR</t>
  </si>
  <si>
    <t>Instagram</t>
  </si>
  <si>
    <t>Zachёt</t>
  </si>
  <si>
    <t>IT</t>
  </si>
  <si>
    <t>День Карьеры</t>
  </si>
  <si>
    <t>Мастер</t>
  </si>
  <si>
    <t>Гудов Дмитрий</t>
  </si>
  <si>
    <t>Гребеньков Максим</t>
  </si>
  <si>
    <t>Рыжикова Анастасия</t>
  </si>
  <si>
    <t>Среданович Мария</t>
  </si>
  <si>
    <t>Точаева Татьяна</t>
  </si>
  <si>
    <t>Чистоперов Сергей</t>
  </si>
  <si>
    <t>Логвинова Мария</t>
  </si>
  <si>
    <t>Ефремова Ирина</t>
  </si>
  <si>
    <t>Кожевникова Мария</t>
  </si>
  <si>
    <t>Григорьев Александр</t>
  </si>
  <si>
    <t>Коднир Михаил</t>
  </si>
  <si>
    <t>Авагян Армен</t>
  </si>
  <si>
    <t>Кашкин Роман</t>
  </si>
  <si>
    <t>Огай Владислав</t>
  </si>
  <si>
    <t>Зайцева Яна</t>
  </si>
  <si>
    <t>Подъяблонский Егор</t>
  </si>
  <si>
    <t>Вожга Маргарита</t>
  </si>
  <si>
    <t>Толстова Анна</t>
  </si>
  <si>
    <t>Загатин Даниил</t>
  </si>
  <si>
    <t>Шадже Анзор</t>
  </si>
  <si>
    <t>Попова Мария</t>
  </si>
  <si>
    <t>Булкин Антон</t>
  </si>
  <si>
    <t>Кузьмина Елизавета</t>
  </si>
  <si>
    <t>Мозжухин Александр</t>
  </si>
  <si>
    <t>Диденко София</t>
  </si>
  <si>
    <t>Винокуров Кирилл</t>
  </si>
  <si>
    <t>Котляревская Анна</t>
  </si>
  <si>
    <t>Мальчевский Степан</t>
  </si>
  <si>
    <t>Беппиев Георгий</t>
  </si>
  <si>
    <t xml:space="preserve">          Активисты</t>
  </si>
  <si>
    <t>Денисов Егор</t>
  </si>
  <si>
    <t>Лебедев Иван</t>
  </si>
  <si>
    <t>Кураева Валентина</t>
  </si>
  <si>
    <t>Никитина София-Мария</t>
  </si>
  <si>
    <t>Скабалланович Полина</t>
  </si>
  <si>
    <t>Алиев Хизри</t>
  </si>
  <si>
    <t>Малахов Александр</t>
  </si>
  <si>
    <t>Новикова Юлия</t>
  </si>
  <si>
    <t>Найденова Дария</t>
  </si>
  <si>
    <t>Балакин Денис</t>
  </si>
  <si>
    <t>Мухтаров Азамат</t>
  </si>
  <si>
    <t>Утешева Екатерина</t>
  </si>
  <si>
    <t>Коробкина Мария</t>
  </si>
  <si>
    <t>Бедрин Павел</t>
  </si>
  <si>
    <t>Худяков Даниил</t>
  </si>
  <si>
    <t>Кузовлева Виктория</t>
  </si>
  <si>
    <t>Уткина Ульяна</t>
  </si>
  <si>
    <t>Лукинова Мария</t>
  </si>
  <si>
    <t>Альтерман Лев</t>
  </si>
  <si>
    <t>Фролова Ольга</t>
  </si>
  <si>
    <t>Веревкин Илья</t>
  </si>
  <si>
    <t>Лепик Виктор</t>
  </si>
  <si>
    <t>Митрофанов Андрей</t>
  </si>
  <si>
    <t>Пелевина Виктория</t>
  </si>
  <si>
    <t>Панов Данила</t>
  </si>
  <si>
    <t>Суховеров Михаил</t>
  </si>
  <si>
    <t>Слободин Дмитрий</t>
  </si>
  <si>
    <t>Габриелян Арина</t>
  </si>
  <si>
    <t>Стрелкина Ирина</t>
  </si>
  <si>
    <t>Андреков Егор</t>
  </si>
  <si>
    <t>Скаленко Юлия</t>
  </si>
  <si>
    <t>Орен Сюлейман</t>
  </si>
  <si>
    <t>Зайцев Арсений</t>
  </si>
  <si>
    <t>Пескова Карина</t>
  </si>
  <si>
    <t>Фомина Ольга</t>
  </si>
  <si>
    <t>Кочеткова Маргарита</t>
  </si>
  <si>
    <t>Андреев Илья</t>
  </si>
  <si>
    <t>Шахназарова Хадижат</t>
  </si>
  <si>
    <t>Тыцкая Екатерина</t>
  </si>
  <si>
    <t>Ренкас Владислав</t>
  </si>
  <si>
    <t>Глущенко Анна</t>
  </si>
  <si>
    <t>Уткин Тимофей</t>
  </si>
  <si>
    <t>Ярыжева Лариса</t>
  </si>
  <si>
    <t>Лякина Юлия</t>
  </si>
  <si>
    <t>Саакян Грант</t>
  </si>
  <si>
    <t>Древаль Ксения</t>
  </si>
  <si>
    <t>Ратова Ярослава</t>
  </si>
  <si>
    <t>Курбанов Арслан</t>
  </si>
  <si>
    <t>Скотникова Елизавета</t>
  </si>
  <si>
    <t>Игинашева Вероника</t>
  </si>
  <si>
    <t>Кукузей Никита</t>
  </si>
  <si>
    <t>Минько Елисавета</t>
  </si>
  <si>
    <t>Матвиенко Варвара</t>
  </si>
  <si>
    <t>Жукова Наталия</t>
  </si>
  <si>
    <t>Пугин Павел</t>
  </si>
  <si>
    <t>Жигалова Екатерина</t>
  </si>
  <si>
    <t>Гуртовая Зоя</t>
  </si>
  <si>
    <t>Ровенский Михаил</t>
  </si>
  <si>
    <t>Захаркина Юлия</t>
  </si>
  <si>
    <t>Панкин Дмитрий</t>
  </si>
  <si>
    <t>Обрядчикова Анастасия</t>
  </si>
  <si>
    <t>Зорин Михаил</t>
  </si>
  <si>
    <t>Морозова Виктория</t>
  </si>
  <si>
    <t>Панфилова Арина</t>
  </si>
  <si>
    <t>Журавлева Светлана</t>
  </si>
  <si>
    <t>Журавков Денис</t>
  </si>
  <si>
    <t>Аристова Алла</t>
  </si>
  <si>
    <t>Клейн Софья</t>
  </si>
  <si>
    <t>Семин Максим</t>
  </si>
  <si>
    <t>Кизласова Маргарита</t>
  </si>
  <si>
    <t>Цуканов Максим</t>
  </si>
  <si>
    <t>Журавков Даниил</t>
  </si>
  <si>
    <t>Полянин Даниил</t>
  </si>
  <si>
    <t>Корж Евгения</t>
  </si>
  <si>
    <t>Прокофьева Екатерина</t>
  </si>
  <si>
    <t>Концевая Александра</t>
  </si>
  <si>
    <t>Рогожкина Алина</t>
  </si>
  <si>
    <t>Казарян Тигран</t>
  </si>
  <si>
    <t>Андреева Елена</t>
  </si>
  <si>
    <t>Рязанов Иван</t>
  </si>
  <si>
    <t>Коцин Антон</t>
  </si>
  <si>
    <t>Чувпило Александр</t>
  </si>
  <si>
    <t>Мельдианов Лев</t>
  </si>
  <si>
    <t>Шагалиева Диана</t>
  </si>
  <si>
    <t>Курганский Леонид</t>
  </si>
  <si>
    <t>Джиоев Владимир</t>
  </si>
  <si>
    <t>Суховерхов Михаил</t>
  </si>
  <si>
    <t>Рыбникова Дарья</t>
  </si>
  <si>
    <t>Юлов Павел</t>
  </si>
  <si>
    <t>Павлов Егор</t>
  </si>
  <si>
    <t>Овсянникова Софья</t>
  </si>
  <si>
    <t>Фролова Ульяна</t>
  </si>
  <si>
    <t>Полторак Сергей</t>
  </si>
  <si>
    <t>Шестаков Дмитрий</t>
  </si>
  <si>
    <t>Хромова Анастасия</t>
  </si>
  <si>
    <t>Ларин Святослав</t>
  </si>
  <si>
    <t>Фоминых Владимир</t>
  </si>
  <si>
    <t>Саратовкин Николай</t>
  </si>
  <si>
    <t>Лазарев Глеб</t>
  </si>
  <si>
    <t>Кужагильдин Богдан</t>
  </si>
  <si>
    <t>Барсуков Егор</t>
  </si>
  <si>
    <t>Митькиных Мария</t>
  </si>
  <si>
    <t>Куницкий Даниил</t>
  </si>
  <si>
    <t>Моисеев Даниил</t>
  </si>
  <si>
    <t>Плинский Максим</t>
  </si>
  <si>
    <t>Щетинкин Георгий</t>
  </si>
  <si>
    <t>Елесин Евгений</t>
  </si>
  <si>
    <t>Глазунов Матвей</t>
  </si>
  <si>
    <t>Валиев Радмир</t>
  </si>
  <si>
    <t>Новоселов Степан</t>
  </si>
  <si>
    <t>Кокорев Петр</t>
  </si>
  <si>
    <t>Брылева София</t>
  </si>
  <si>
    <t>Касаткин Максим</t>
  </si>
  <si>
    <t>Джуны</t>
  </si>
  <si>
    <t>Группа</t>
  </si>
  <si>
    <t>Должность/блок</t>
  </si>
  <si>
    <t>Trello</t>
  </si>
  <si>
    <t>Почта my.msu</t>
  </si>
  <si>
    <t>Абрамова Варвара Владимировна</t>
  </si>
  <si>
    <t>Абрамова Варвара</t>
  </si>
  <si>
    <t>асп СА 2 год</t>
  </si>
  <si>
    <t>метро Измайлово</t>
  </si>
  <si>
    <t>Дизайн,</t>
  </si>
  <si>
    <t>vk.com/ruvasha</t>
  </si>
  <si>
    <t>Ruvashalinal@gmail.com</t>
  </si>
  <si>
    <t>ruvasha</t>
  </si>
  <si>
    <t>Ruvasha</t>
  </si>
  <si>
    <t>ruvasha (theruvasha)</t>
  </si>
  <si>
    <t>AbramovaVV@my.msu.ru</t>
  </si>
  <si>
    <t>Агеев Иван Александрович</t>
  </si>
  <si>
    <t>Агеев Иван</t>
  </si>
  <si>
    <t>Спонсоры,</t>
  </si>
  <si>
    <t>https://vk.com/iageev0</t>
  </si>
  <si>
    <t>ageev.ivan1604@gmail.com</t>
  </si>
  <si>
    <t>Акопян Микаэла Тиграновна</t>
  </si>
  <si>
    <t xml:space="preserve">Планерная </t>
  </si>
  <si>
    <t>vk.com/mekuun</t>
  </si>
  <si>
    <t>@mekuun</t>
  </si>
  <si>
    <t>mekoprivetik@gmail.com</t>
  </si>
  <si>
    <t>Алексеева Полина Михайловна</t>
  </si>
  <si>
    <t>Алексеева Полина</t>
  </si>
  <si>
    <t>Дизайн,Экоблок,</t>
  </si>
  <si>
    <t>+79959058539</t>
  </si>
  <si>
    <t>https://vk.com/powithlo</t>
  </si>
  <si>
    <t>alekseevapm.111205@gmail.com</t>
  </si>
  <si>
    <t>Алешин Никита Александрович</t>
  </si>
  <si>
    <t>Алешин Никита</t>
  </si>
  <si>
    <t>ГЗ Д338</t>
  </si>
  <si>
    <t>РСО,Instagram,</t>
  </si>
  <si>
    <t>vk.com/id58470497</t>
  </si>
  <si>
    <t>runner00039@gmail.com</t>
  </si>
  <si>
    <t>runner00003</t>
  </si>
  <si>
    <t>gtorvald</t>
  </si>
  <si>
    <t>n.nnnnnnnnnnnnnn.n</t>
  </si>
  <si>
    <t>не подтверждено</t>
  </si>
  <si>
    <t>Алтухова Елизавета Сергеевна</t>
  </si>
  <si>
    <t>ФДС 3</t>
  </si>
  <si>
    <t>КП, Работа со Сторонними Организациями</t>
  </si>
  <si>
    <t>https://vk.com/liza__ziza</t>
  </si>
  <si>
    <t>170400eliza@gmail.com</t>
  </si>
  <si>
    <t>lizaaltuhova</t>
  </si>
  <si>
    <t>ziza_eliza</t>
  </si>
  <si>
    <t>м. ЦСКА</t>
  </si>
  <si>
    <t>БДНС,Техники,</t>
  </si>
  <si>
    <t>+79163819339</t>
  </si>
  <si>
    <t>lev_alterman</t>
  </si>
  <si>
    <t>lev_alter</t>
  </si>
  <si>
    <t>Аманов Илья Дмитриевич</t>
  </si>
  <si>
    <t>Аманов Илья</t>
  </si>
  <si>
    <t>Метро беляево</t>
  </si>
  <si>
    <t>https://vk.com/id412333948</t>
  </si>
  <si>
    <t>amanov.9393@gmail.com</t>
  </si>
  <si>
    <t>t.me/st_valentines_bot?start=451664142</t>
  </si>
  <si>
    <t>Base_122</t>
  </si>
  <si>
    <t>prosto_bomj _</t>
  </si>
  <si>
    <t>AmanovID@my.msu.ru</t>
  </si>
  <si>
    <t>Анохин Владислав Андреевич</t>
  </si>
  <si>
    <t>Анохин Владислав</t>
  </si>
  <si>
    <t>М. Академическая</t>
  </si>
  <si>
    <t>Досуг,Закупки,</t>
  </si>
  <si>
    <t>vk.com/anokhin.vladis</t>
  </si>
  <si>
    <t>Anokhin.vladis@gmail.com</t>
  </si>
  <si>
    <t>@laslovla</t>
  </si>
  <si>
    <t>Anokhin.vladis</t>
  </si>
  <si>
    <t>AnokhinVA@my.msu.ru</t>
  </si>
  <si>
    <t>Антипина Анна Вячеславовна</t>
  </si>
  <si>
    <t>Метро Люблино</t>
  </si>
  <si>
    <t>Медиа</t>
  </si>
  <si>
    <t>vk.com/ann_mcdoogle</t>
  </si>
  <si>
    <t>anya.antipina@gmail.com</t>
  </si>
  <si>
    <t>user24686100</t>
  </si>
  <si>
    <t>Ann_McDoogle</t>
  </si>
  <si>
    <t>ann_asher</t>
  </si>
  <si>
    <t>Антюхов Никита Викторович</t>
  </si>
  <si>
    <t>Антюхов Никита</t>
  </si>
  <si>
    <t>МП,Видео,</t>
  </si>
  <si>
    <t>https://vk.com/chereshnya123</t>
  </si>
  <si>
    <t>nikos08012@gmail.com</t>
  </si>
  <si>
    <t>t.me/st_valentines_bot?start=455947842</t>
  </si>
  <si>
    <t>@Sany0k12</t>
  </si>
  <si>
    <t>vyatskiy_sas</t>
  </si>
  <si>
    <t>AntyuhovNV@my.msu.ru</t>
  </si>
  <si>
    <t>http://t.me/anonimvalentinbot?start=455947842</t>
  </si>
  <si>
    <t>Арбузов Николай Романович</t>
  </si>
  <si>
    <t>ДСЛ а1221</t>
  </si>
  <si>
    <t>Дизайн, медиа</t>
  </si>
  <si>
    <t>vk.com/k_o_l_y_a_24</t>
  </si>
  <si>
    <t>anr.qwert@gmail.com</t>
  </si>
  <si>
    <t>@user81022096</t>
  </si>
  <si>
    <t>@MrWMNick</t>
  </si>
  <si>
    <t>@arbuzz07</t>
  </si>
  <si>
    <t>не заполнено</t>
  </si>
  <si>
    <t>Асанова Илона Николаевна</t>
  </si>
  <si>
    <t>Асанова Илона</t>
  </si>
  <si>
    <t>ДСЛ Б615</t>
  </si>
  <si>
    <t>Профорги,Техники,</t>
  </si>
  <si>
    <t>https://vk.com/ilonaasanova</t>
  </si>
  <si>
    <t>rucbarm.ilona@gmail.com</t>
  </si>
  <si>
    <t>t.me/st_valentines_bot?start=655700935</t>
  </si>
  <si>
    <t>ilonaasanova</t>
  </si>
  <si>
    <t>ailona</t>
  </si>
  <si>
    <t>ilona_asanova</t>
  </si>
  <si>
    <t>AsanovaIN@my.msu.ru</t>
  </si>
  <si>
    <t>Афонина Анастасия Александровна</t>
  </si>
  <si>
    <t>Афонина Анастасия</t>
  </si>
  <si>
    <t>метро Царицыно</t>
  </si>
  <si>
    <t>Профорги,</t>
  </si>
  <si>
    <t>vk.com/r0ussette</t>
  </si>
  <si>
    <t>afonina.anastasia.02@gmail.com</t>
  </si>
  <si>
    <t>@R0ussette</t>
  </si>
  <si>
    <t>russet_anastasia</t>
  </si>
  <si>
    <t>AfoninaAA@my.msu.ru</t>
  </si>
  <si>
    <t>Ахапкина Варвара Денисовна</t>
  </si>
  <si>
    <t>Ахапкина Варвара</t>
  </si>
  <si>
    <t>519/2</t>
  </si>
  <si>
    <t>метро Прокшино</t>
  </si>
  <si>
    <t/>
  </si>
  <si>
    <t>vk.com/avakadododo</t>
  </si>
  <si>
    <t>varya.aha@gmail.com</t>
  </si>
  <si>
    <t>t.me/st_valentines_bot?start=443368339</t>
  </si>
  <si>
    <t>avocado_varya</t>
  </si>
  <si>
    <t>lazyrock</t>
  </si>
  <si>
    <t>varya99</t>
  </si>
  <si>
    <t>Ахметова Камила Артуровна</t>
  </si>
  <si>
    <t>vk.com/id31843157</t>
  </si>
  <si>
    <t>tatartarka@gmail.com</t>
  </si>
  <si>
    <t>Ашинов Бислан Рамазанович</t>
  </si>
  <si>
    <t>Ашинов Бислан</t>
  </si>
  <si>
    <t>ГЗ, Б, 12 этаж</t>
  </si>
  <si>
    <t>vk.com/notpil_inc</t>
  </si>
  <si>
    <t>ashinov.ba35813@gmail.com</t>
  </si>
  <si>
    <t>@bislan2</t>
  </si>
  <si>
    <t>@Bis_np</t>
  </si>
  <si>
    <t>ashinov_the_bes</t>
  </si>
  <si>
    <t>AshinovBR@my.msu.ru</t>
  </si>
  <si>
    <t>Баженов Артем Андреевич</t>
  </si>
  <si>
    <t>Баженов Артем</t>
  </si>
  <si>
    <t>м. Домодедовская</t>
  </si>
  <si>
    <t>https://m.vk.com/id506201619</t>
  </si>
  <si>
    <t>ar.bazhenov@gmail.com</t>
  </si>
  <si>
    <t>@artem_bazhenov</t>
  </si>
  <si>
    <t>_bazhenov_artem</t>
  </si>
  <si>
    <t>bazhenovaa@my.msu.ru</t>
  </si>
  <si>
    <t>Баженов Георгий Константинович</t>
  </si>
  <si>
    <t>ДСЛ А707</t>
  </si>
  <si>
    <t>https://vk.com/zhorka.bang</t>
  </si>
  <si>
    <t>georgy.bazhenov@mail.ru</t>
  </si>
  <si>
    <t>@Bagk02</t>
  </si>
  <si>
    <t>zhorka.bang</t>
  </si>
  <si>
    <t>Балабин Данил Сергеевич</t>
  </si>
  <si>
    <t>ГЗ Б634</t>
  </si>
  <si>
    <t>Cпорт, сценаристы(j), склад(j)</t>
  </si>
  <si>
    <t>vk.com/dan.hardkuzo</t>
  </si>
  <si>
    <t>derssent@gmail.com</t>
  </si>
  <si>
    <t>Балтаев Глеб Иркинович</t>
  </si>
  <si>
    <t>Балтаев Глеб</t>
  </si>
  <si>
    <t>Сценаристы,</t>
  </si>
  <si>
    <t>https://m.vk.com/id245038027</t>
  </si>
  <si>
    <t>gleb.baltaev@gmail.com</t>
  </si>
  <si>
    <t>Бандерова Полина Олеговна</t>
  </si>
  <si>
    <t>Бандерова Полина</t>
  </si>
  <si>
    <t>vk.com/s_polya_15</t>
  </si>
  <si>
    <t>s02220025@gse.cs.msu.ru</t>
  </si>
  <si>
    <t>Батенев (Гусев) Родион Евгеньевич</t>
  </si>
  <si>
    <t>ДСЛ А1225</t>
  </si>
  <si>
    <t>vk.com/fnt145</t>
  </si>
  <si>
    <t>rsan.1707@gmail.com</t>
  </si>
  <si>
    <t>@xeno_scum</t>
  </si>
  <si>
    <t>ghus02</t>
  </si>
  <si>
    <t>Бахтина Елена Владимировна</t>
  </si>
  <si>
    <t>Бахтина Елена</t>
  </si>
  <si>
    <t>м. Кунцевская, Молодежная</t>
  </si>
  <si>
    <t>Профорги,УРС,</t>
  </si>
  <si>
    <t>https://vk.com/kolmlena</t>
  </si>
  <si>
    <t>lena.volley@yandex.ru</t>
  </si>
  <si>
    <t>@bbloodstream</t>
  </si>
  <si>
    <t>kolmlena</t>
  </si>
  <si>
    <t>bakhtinaev@my.msu</t>
  </si>
  <si>
    <t>Баширов Артур Вадимович</t>
  </si>
  <si>
    <t>Баширов Артур</t>
  </si>
  <si>
    <t>ДСЛ Б726</t>
  </si>
  <si>
    <t>Видео,</t>
  </si>
  <si>
    <t>https://vk.com/em_krokant</t>
  </si>
  <si>
    <t>yablokco44@gmail.com</t>
  </si>
  <si>
    <t>@loqiemeaning</t>
  </si>
  <si>
    <t>em_krokant</t>
  </si>
  <si>
    <t>bashirovav@my.msu.ru</t>
  </si>
  <si>
    <t>Бежанян Регина Олеговна</t>
  </si>
  <si>
    <t>Бежанян Регина</t>
  </si>
  <si>
    <t>ГЗ, Б1248</t>
  </si>
  <si>
    <t>vk.com/reginabzhnn</t>
  </si>
  <si>
    <t>regibezh@gmail.com</t>
  </si>
  <si>
    <t>regina_bzhnn</t>
  </si>
  <si>
    <t>@regina_bzhnn</t>
  </si>
  <si>
    <t>BezhanianRO@my.msu.ru</t>
  </si>
  <si>
    <t>Белоусова Надежда Максимовна</t>
  </si>
  <si>
    <t>Белоусова Надежда</t>
  </si>
  <si>
    <t>ДСЛ А721</t>
  </si>
  <si>
    <t>https://vk.com/elarliu</t>
  </si>
  <si>
    <t>nadya.belousova66@gmail.com</t>
  </si>
  <si>
    <t>@elarliu</t>
  </si>
  <si>
    <t>Беляева Ольга Константиновна</t>
  </si>
  <si>
    <t>Беляева Ольга</t>
  </si>
  <si>
    <t>Frankfurt am Main</t>
  </si>
  <si>
    <t>HR,Фото,Видео,</t>
  </si>
  <si>
    <t>vk.com/id428822601</t>
  </si>
  <si>
    <t>belyaevaolga881@gmail.com</t>
  </si>
  <si>
    <t>http://t.me/st_valentines_bot?start=808573035</t>
  </si>
  <si>
    <t>yaaawner</t>
  </si>
  <si>
    <t>aprl.white</t>
  </si>
  <si>
    <t>BelyaevaOK@my.msu.ru</t>
  </si>
  <si>
    <t>t.me/st_valentines_bot?start=808573035</t>
  </si>
  <si>
    <t>Бербер Кирилл Андреевич</t>
  </si>
  <si>
    <t>Бербер Кирилл</t>
  </si>
  <si>
    <t>ДСЛ б526, приходите в мой дом, мои двери открыты...</t>
  </si>
  <si>
    <t>Закупки,Спонсоры,</t>
  </si>
  <si>
    <t>vk.com/id9355086</t>
  </si>
  <si>
    <t>berberkirill@gmail.com</t>
  </si>
  <si>
    <t>berber.kirill</t>
  </si>
  <si>
    <t>Bazz143</t>
  </si>
  <si>
    <t>Бердникова Арина Игоревна</t>
  </si>
  <si>
    <t>Бердникова Арина</t>
  </si>
  <si>
    <t>ГЗ Б615п</t>
  </si>
  <si>
    <t>Декораторы,МП,</t>
  </si>
  <si>
    <t>https://vk.com/arinacampbell</t>
  </si>
  <si>
    <t>arinacampbell2002@gmail.com</t>
  </si>
  <si>
    <t>t.me/st_valentines_bot?start=740969473</t>
  </si>
  <si>
    <t>Dev_illess</t>
  </si>
  <si>
    <t>dev_illess</t>
  </si>
  <si>
    <t>BerdnikovaAI@my.msu.ru</t>
  </si>
  <si>
    <t>https://t.me/anonimvalentinbot?start=740969473</t>
  </si>
  <si>
    <t>Берочкина Вероника Алексеевна</t>
  </si>
  <si>
    <t>Берочкина Вероника</t>
  </si>
  <si>
    <t>ДСЛ Б609</t>
  </si>
  <si>
    <t>МП,</t>
  </si>
  <si>
    <t>https://vk.com/nika_berochkina</t>
  </si>
  <si>
    <t>berochkina.nika2@gmail.com</t>
  </si>
  <si>
    <t>nikusho_nok</t>
  </si>
  <si>
    <t>_penakut_</t>
  </si>
  <si>
    <t>Беспалая Ангелина</t>
  </si>
  <si>
    <t>Информирование,Склад,</t>
  </si>
  <si>
    <t>Беспалая Ангелина Виталиевна</t>
  </si>
  <si>
    <t>Склад,</t>
  </si>
  <si>
    <t>+79180235478</t>
  </si>
  <si>
    <t>https://vk.com/angelinabespalaya</t>
  </si>
  <si>
    <t>angelina.bespalaya@gmail.com</t>
  </si>
  <si>
    <t>Бетрозова Берта Ермаковна</t>
  </si>
  <si>
    <t>Зачет</t>
  </si>
  <si>
    <t>vk.com/brtbtrzv</t>
  </si>
  <si>
    <t>berta35989@gmail.com</t>
  </si>
  <si>
    <t>brtbtrzv</t>
  </si>
  <si>
    <t>Бидерина Ксения Константиновна</t>
  </si>
  <si>
    <t>м. Беляево</t>
  </si>
  <si>
    <t>Медиа, Дизайн</t>
  </si>
  <si>
    <t>vk.com/constbit</t>
  </si>
  <si>
    <t>constbiit@gmail.com</t>
  </si>
  <si>
    <t>ksenia_biderina</t>
  </si>
  <si>
    <t>Бирюков Андрей Матвеевич</t>
  </si>
  <si>
    <t>Бирюков Андрей</t>
  </si>
  <si>
    <t>м. Юго-Западная</t>
  </si>
  <si>
    <t>vk.com/andrew0400</t>
  </si>
  <si>
    <t>biryukov.andrej2000@gmail.com</t>
  </si>
  <si>
    <t>t.me/st_valentines_bot?start=354930110</t>
  </si>
  <si>
    <t>the_fiery_lynx</t>
  </si>
  <si>
    <t>@BiryukovAndrej</t>
  </si>
  <si>
    <t>andrew__biryukov</t>
  </si>
  <si>
    <t>BiryukovAM@my.msu.ru</t>
  </si>
  <si>
    <t>Блинов Максим Алексеевич</t>
  </si>
  <si>
    <t>Блинов Максим</t>
  </si>
  <si>
    <t>https://vk.com/08figure09</t>
  </si>
  <si>
    <t>maxxxbal@gmail.com</t>
  </si>
  <si>
    <t>t.me/anonimvalentinbot?start=1351471703</t>
  </si>
  <si>
    <t>Боблев Владимир Сергеевич</t>
  </si>
  <si>
    <t>Боблев Владимир</t>
  </si>
  <si>
    <t>http://vk.com/bublik_a_ne_zhvachka</t>
  </si>
  <si>
    <t>s02210324@gse.cs.msu.ru</t>
  </si>
  <si>
    <t>Болотин Данила Александрович</t>
  </si>
  <si>
    <t>Болотин Данила</t>
  </si>
  <si>
    <t>ДСЛ Б527</t>
  </si>
  <si>
    <t>+79050307900</t>
  </si>
  <si>
    <t>vk.com/chopaboy</t>
  </si>
  <si>
    <t>s02200336@gse.cs.msu.ru</t>
  </si>
  <si>
    <t>@witblou</t>
  </si>
  <si>
    <t>BolotinDA@my.msu.ru</t>
  </si>
  <si>
    <t>Бондаренко Анна Игоревна</t>
  </si>
  <si>
    <t>М. Пролетарская / м. Первомайская</t>
  </si>
  <si>
    <t>Vk.com/bondarenko.anya</t>
  </si>
  <si>
    <t xml:space="preserve">anechkabond </t>
  </si>
  <si>
    <t>annabond880@gmail.com</t>
  </si>
  <si>
    <t>Боос Алиса Олеговна</t>
  </si>
  <si>
    <t>Боос Алиса</t>
  </si>
  <si>
    <t>ДСЛ Б503</t>
  </si>
  <si>
    <t>Медиа, мат.помощь</t>
  </si>
  <si>
    <t>vk.com/ghostwheat</t>
  </si>
  <si>
    <t>alisa.boos.00@gmail.com</t>
  </si>
  <si>
    <t>ghostwheat</t>
  </si>
  <si>
    <t>Борина Ирина Андреевна</t>
  </si>
  <si>
    <t>Борина Ирина</t>
  </si>
  <si>
    <t>ДСЛ А702</t>
  </si>
  <si>
    <t>Декораторы,Информирование,Склад,</t>
  </si>
  <si>
    <t>https://vk.com/iraevs</t>
  </si>
  <si>
    <t>ir.borina13@gmail.com</t>
  </si>
  <si>
    <t>upulua</t>
  </si>
  <si>
    <t>Бочкарев Роберт Владимирович</t>
  </si>
  <si>
    <t>Техники,</t>
  </si>
  <si>
    <t>Боярищева Любовь Эдуардовна</t>
  </si>
  <si>
    <t>Боярищева Любовь</t>
  </si>
  <si>
    <t>+79224326311</t>
  </si>
  <si>
    <t>https://vk.com/alexs_boo</t>
  </si>
  <si>
    <t>lubovboariseva64467@gmail.com</t>
  </si>
  <si>
    <t>Брыскина Кристина Алексеевна</t>
  </si>
  <si>
    <t>Брыскина Кристина</t>
  </si>
  <si>
    <t>м. Коломенская</t>
  </si>
  <si>
    <t>https://vk.com/k.bryskina</t>
  </si>
  <si>
    <t>kristina.bryskina2004@gmail.com</t>
  </si>
  <si>
    <t>bryskina_kristina</t>
  </si>
  <si>
    <t>s02220038@gse.cs.msu.ru</t>
  </si>
  <si>
    <t>http://t.me/anonimvalentinbot?start=1056076466</t>
  </si>
  <si>
    <t>Бузанов Никита Александрович</t>
  </si>
  <si>
    <t>Бузанов Никита</t>
  </si>
  <si>
    <t>ДСЛ В415</t>
  </si>
  <si>
    <t>+79140526556</t>
  </si>
  <si>
    <t>https://vk.com/nbuzanov</t>
  </si>
  <si>
    <t>nikita03buzz@gmail.com</t>
  </si>
  <si>
    <t>@kit27062003</t>
  </si>
  <si>
    <t>s02210334@gse.cs.msu.ru</t>
  </si>
  <si>
    <t>Булыничев Юрий Алексеевич</t>
  </si>
  <si>
    <t>vk.com/massidan1</t>
  </si>
  <si>
    <t>@bylunichev</t>
  </si>
  <si>
    <t>fromakei1111@gmail.com</t>
  </si>
  <si>
    <t>Васильева Надежда Андреевна</t>
  </si>
  <si>
    <t>Васильева Надежда</t>
  </si>
  <si>
    <t>ДСЛ Б528</t>
  </si>
  <si>
    <t>Информирование,</t>
  </si>
  <si>
    <t>https://vk.com/milady_hope</t>
  </si>
  <si>
    <t>kvna0908@gmail.com</t>
  </si>
  <si>
    <t>t.me/st_valentines_bot?start=803070680</t>
  </si>
  <si>
    <t>milady_hope</t>
  </si>
  <si>
    <t>vasilevana@my.msu.ru</t>
  </si>
  <si>
    <t>http://t.me/anonimvalentinbot?start=803070680</t>
  </si>
  <si>
    <t>Вахрушина Екатерина Вадимовна</t>
  </si>
  <si>
    <t>Вахрушина Екатерина</t>
  </si>
  <si>
    <t>618-1</t>
  </si>
  <si>
    <t>Метро Новогиреево</t>
  </si>
  <si>
    <t>Декораторы,</t>
  </si>
  <si>
    <t>vk.com/id188835649</t>
  </si>
  <si>
    <t>e.v.vakhrushina@gmail.com</t>
  </si>
  <si>
    <t>kosatkatya</t>
  </si>
  <si>
    <t>katya_kosatka</t>
  </si>
  <si>
    <t>VakhrushinaEV@my.msu.ru</t>
  </si>
  <si>
    <t>Виль Вадим Андреевич</t>
  </si>
  <si>
    <t>Виль Вадим</t>
  </si>
  <si>
    <t>Метро Университет</t>
  </si>
  <si>
    <t>vk.com/id147414180</t>
  </si>
  <si>
    <t>vadimvil1514@gmail.com</t>
  </si>
  <si>
    <t>user89664569</t>
  </si>
  <si>
    <t>vadimvil</t>
  </si>
  <si>
    <t>Виноградов Владимир Сергеевич</t>
  </si>
  <si>
    <t>Виноградов Владимир</t>
  </si>
  <si>
    <t>https://vk.com/sator_square</t>
  </si>
  <si>
    <t>ludmilvinigradov@gmail.com</t>
  </si>
  <si>
    <t>Вовненко Алиса Максимовна</t>
  </si>
  <si>
    <t>401 (Ф)</t>
  </si>
  <si>
    <t>IT (j)</t>
  </si>
  <si>
    <t>vk.com/aprilcarro</t>
  </si>
  <si>
    <t>yagomush@gmail.com</t>
  </si>
  <si>
    <t>almaxen</t>
  </si>
  <si>
    <t>Водяный Андрей Викторович</t>
  </si>
  <si>
    <t>Водяный Андрей</t>
  </si>
  <si>
    <t>Досуг,</t>
  </si>
  <si>
    <t>+79527382005</t>
  </si>
  <si>
    <t>https://m.vk.com/andrey_voter</t>
  </si>
  <si>
    <t>vandrey34@gmail.com</t>
  </si>
  <si>
    <t>Волков Алексей Дмитриевич</t>
  </si>
  <si>
    <t>Волков Алексей</t>
  </si>
  <si>
    <t>гз</t>
  </si>
  <si>
    <t>+79261476228</t>
  </si>
  <si>
    <t>https://vk.com/id274066589</t>
  </si>
  <si>
    <t>s02200349@gse.cs.msu.ru</t>
  </si>
  <si>
    <t>t.me/st_valentines_bot?start=397691720</t>
  </si>
  <si>
    <t>VolkovAD@my.msu.ru</t>
  </si>
  <si>
    <t>Волков Андрей Андреевич</t>
  </si>
  <si>
    <t>Волков Андрей</t>
  </si>
  <si>
    <t>Академическая</t>
  </si>
  <si>
    <t>УРС,IT,</t>
  </si>
  <si>
    <t>vk.com/id42499509</t>
  </si>
  <si>
    <t>Andrewvolkov99@gmail.com</t>
  </si>
  <si>
    <t>facelesslaw</t>
  </si>
  <si>
    <t>Handsome_Law</t>
  </si>
  <si>
    <t>andrewvolkov99</t>
  </si>
  <si>
    <t>VolkovAA@my.msu.ru</t>
  </si>
  <si>
    <t>Волков Владимир Владимирович</t>
  </si>
  <si>
    <t>Волков Владимир</t>
  </si>
  <si>
    <t>м. Дмитровская / м. Марьина Роща</t>
  </si>
  <si>
    <t>Декораторы,Дизайн,</t>
  </si>
  <si>
    <t>vk.com/evheee</t>
  </si>
  <si>
    <t>v91086466@gmail.com</t>
  </si>
  <si>
    <t>v91086466</t>
  </si>
  <si>
    <t>a0fail</t>
  </si>
  <si>
    <t>a0fail_grechka</t>
  </si>
  <si>
    <t>VolkovVV@my.msu.ru</t>
  </si>
  <si>
    <t>http://t.me/anonimvalentinbot?start=291457016</t>
  </si>
  <si>
    <t>Воробьев Сергей Юрьевич</t>
  </si>
  <si>
    <t>Воробьев Сергей</t>
  </si>
  <si>
    <t>Фото,</t>
  </si>
  <si>
    <t>https://vk.com/serv_01</t>
  </si>
  <si>
    <t>sergei.vorobyov01@gmail.com</t>
  </si>
  <si>
    <t>serv01</t>
  </si>
  <si>
    <t>vorobyovsy@my.msu.ru</t>
  </si>
  <si>
    <t>Воропай Елена Сергеевна</t>
  </si>
  <si>
    <t>Воропай Елена</t>
  </si>
  <si>
    <t>БДНС,МП,</t>
  </si>
  <si>
    <t>vk.com/lenochka_lvl</t>
  </si>
  <si>
    <t>lenochka25012001@gmail.com</t>
  </si>
  <si>
    <t>t.me/st_valentines_bot?start=672888666</t>
  </si>
  <si>
    <t>_lenochka_</t>
  </si>
  <si>
    <t>@lena2501</t>
  </si>
  <si>
    <t>lenochka.lvl</t>
  </si>
  <si>
    <t>VoropaiES@my.msu.ru</t>
  </si>
  <si>
    <t>Гаджиисаев Гаджикурбан Гасан-Гусейнович</t>
  </si>
  <si>
    <t>Гаджиисаев Гаджикурбан</t>
  </si>
  <si>
    <t>ДСЛ А824</t>
  </si>
  <si>
    <t>+79640161079</t>
  </si>
  <si>
    <t>https://vk.com/id530419328</t>
  </si>
  <si>
    <t>kurbanbaraban2004@gmail.com</t>
  </si>
  <si>
    <t>@KKKurbech</t>
  </si>
  <si>
    <t>hassta_luego</t>
  </si>
  <si>
    <t>GadzhiisaevGG@my.msu.ru</t>
  </si>
  <si>
    <t>Гаджимирзаев Абдусамад Амирханович</t>
  </si>
  <si>
    <t>Гаджимирзаев Абдусамад</t>
  </si>
  <si>
    <t>https://vk.com/id499671201</t>
  </si>
  <si>
    <t>s02210346@gse.cs.msu.ru</t>
  </si>
  <si>
    <t>Гадиева Тамара Романовна</t>
  </si>
  <si>
    <t>Гадиева Тамара</t>
  </si>
  <si>
    <t>м. Октябрьское поле</t>
  </si>
  <si>
    <t>vk.com/id131487706</t>
  </si>
  <si>
    <t>tamaragadievaaa@gmail.com</t>
  </si>
  <si>
    <t>@theonlymusya</t>
  </si>
  <si>
    <t>tamara_gadieva</t>
  </si>
  <si>
    <t>GadievaTR@my.msu.ru</t>
  </si>
  <si>
    <t>Гаевская Таисия Александровна</t>
  </si>
  <si>
    <t>Гаевская Таисия</t>
  </si>
  <si>
    <t>ДСЛ 634Б</t>
  </si>
  <si>
    <t>Декораторы,Склад,Экоблок,HR</t>
  </si>
  <si>
    <t>https://vk.com/taya_sad</t>
  </si>
  <si>
    <t>s02210347@gse.cs.msu.ru</t>
  </si>
  <si>
    <t>Гайдей Мария Викторовна</t>
  </si>
  <si>
    <t>Гайдей Мария</t>
  </si>
  <si>
    <t>Закупки,</t>
  </si>
  <si>
    <t>+79897128745</t>
  </si>
  <si>
    <t>vk.com/not_altooo</t>
  </si>
  <si>
    <t>comfys21208@gmail.com</t>
  </si>
  <si>
    <t>Галанин Денис Евгеньевич</t>
  </si>
  <si>
    <t>Галанин Денис</t>
  </si>
  <si>
    <t>м. Университет</t>
  </si>
  <si>
    <t>Декораторы,Склад,HR,</t>
  </si>
  <si>
    <t>vk.com/monkymagik</t>
  </si>
  <si>
    <t>denisgalanin100@gmail.com</t>
  </si>
  <si>
    <t>https://t.me/Denis_Galanin</t>
  </si>
  <si>
    <t>denisgalanin</t>
  </si>
  <si>
    <t>Denis_Galanin</t>
  </si>
  <si>
    <t>GalaninDE@my.msu.ru</t>
  </si>
  <si>
    <t>Галикеева Анна Вадимовна</t>
  </si>
  <si>
    <t>Галикеева Анна</t>
  </si>
  <si>
    <t>ДСЛ, Б605</t>
  </si>
  <si>
    <t>Декораторы, информирование</t>
  </si>
  <si>
    <t>vk.com/id171743803</t>
  </si>
  <si>
    <t>aaann77777@gmail.com</t>
  </si>
  <si>
    <t>bananaana</t>
  </si>
  <si>
    <t>Banananananannanana</t>
  </si>
  <si>
    <t>uchpochmachek</t>
  </si>
  <si>
    <t>Генин Георгий Александрович</t>
  </si>
  <si>
    <t>Генин Георгий</t>
  </si>
  <si>
    <t>https://vk.com/georgiygenin</t>
  </si>
  <si>
    <t>sunfox375@gmail.com</t>
  </si>
  <si>
    <t>Гервиц Виктория Александровна</t>
  </si>
  <si>
    <t>Гервиц Виктория</t>
  </si>
  <si>
    <t>м. Планерная</t>
  </si>
  <si>
    <t>Креативная группа,</t>
  </si>
  <si>
    <t>https://vk.com/snshnrt</t>
  </si>
  <si>
    <t>s02210349@gse.cs.msu.ru</t>
  </si>
  <si>
    <t>@snshnrt</t>
  </si>
  <si>
    <t>snshnrt</t>
  </si>
  <si>
    <t>gervitsva@my.msu.ru</t>
  </si>
  <si>
    <t>Гладков Глеб Алексеевич</t>
  </si>
  <si>
    <t>ДСЛ, Б730</t>
  </si>
  <si>
    <t>vk.com/gegalare</t>
  </si>
  <si>
    <t>gegalare@gmail.com</t>
  </si>
  <si>
    <t>Gegalare</t>
  </si>
  <si>
    <t>Годунова Елизавета Николаевна</t>
  </si>
  <si>
    <t>133/533</t>
  </si>
  <si>
    <t>м.Пражская</t>
  </si>
  <si>
    <t>https://vk.com/li.g0vk</t>
  </si>
  <si>
    <t>t.me/blinsmyasom</t>
  </si>
  <si>
    <t xml:space="preserve">liza.n.godunova@gmail.com / s02210354@gse.cs.msu.ru/ s02250382@gse.cs.msu.ru </t>
  </si>
  <si>
    <t>Головатских Мария Борисовна</t>
  </si>
  <si>
    <t>Головатских Мария</t>
  </si>
  <si>
    <t>441/2</t>
  </si>
  <si>
    <t>северное бутово</t>
  </si>
  <si>
    <t>vk.com/mglvc</t>
  </si>
  <si>
    <t>M.golovatskikh@gmail.com</t>
  </si>
  <si>
    <t>kidassa</t>
  </si>
  <si>
    <t>mglvc</t>
  </si>
  <si>
    <t>golovatskikhmb@my.msu.ru</t>
  </si>
  <si>
    <t>Гончарова Ольга Александровна</t>
  </si>
  <si>
    <t>Гончарова Ольга</t>
  </si>
  <si>
    <t>ДСЛ Б631</t>
  </si>
  <si>
    <t>Матпомощь, паблик</t>
  </si>
  <si>
    <t>vk.com/lelya_g_a</t>
  </si>
  <si>
    <t>olaga1807@gmail.com</t>
  </si>
  <si>
    <t>lelya_g_a</t>
  </si>
  <si>
    <t>Гордеева Мария Алексеевна</t>
  </si>
  <si>
    <t>м. Новые Черемушки</t>
  </si>
  <si>
    <t>связь с профоргами(j)</t>
  </si>
  <si>
    <t>vk.com/gm1509</t>
  </si>
  <si>
    <t>gm15092000@gmail.com</t>
  </si>
  <si>
    <t>mss.doc</t>
  </si>
  <si>
    <t>Гордиенко Иван Алексеевич</t>
  </si>
  <si>
    <t>Гордиенко Иван</t>
  </si>
  <si>
    <t>Балашиха</t>
  </si>
  <si>
    <t>IT,Фото,</t>
  </si>
  <si>
    <t>+79850582908</t>
  </si>
  <si>
    <t>https://vk.com/ivang2908</t>
  </si>
  <si>
    <t>Ivangordienko2004@gmail.com</t>
  </si>
  <si>
    <t>@IvanG_2908</t>
  </si>
  <si>
    <t>Гудков Иван Дмитриевич</t>
  </si>
  <si>
    <t>Можайский район, м. Славянский бульвар, м. Молодежная</t>
  </si>
  <si>
    <t>Матпомощь, Декораторы, Склад</t>
  </si>
  <si>
    <t>vk.com/ivangood99</t>
  </si>
  <si>
    <t>gudkovivan99@gmail.com</t>
  </si>
  <si>
    <t>ivangood99</t>
  </si>
  <si>
    <t>gudkov_ivan</t>
  </si>
  <si>
    <t>Гуртова Кристина Сергеевна</t>
  </si>
  <si>
    <t>Гуртова Кристина</t>
  </si>
  <si>
    <t>м210</t>
  </si>
  <si>
    <t>Декораторы,IT,Зачет,</t>
  </si>
  <si>
    <t>vk.com/kristinagurtova</t>
  </si>
  <si>
    <t>chrismatis123@gmail.com</t>
  </si>
  <si>
    <t>questinaa</t>
  </si>
  <si>
    <t>Chrismatis</t>
  </si>
  <si>
    <t>Гусаров Алексей Алексеевич</t>
  </si>
  <si>
    <t>Гусаров Алексей</t>
  </si>
  <si>
    <t>м. Фрунзенская</t>
  </si>
  <si>
    <t>Закупки,IT,</t>
  </si>
  <si>
    <t>vk.com/id142294381</t>
  </si>
  <si>
    <t>remy1781@gmail.com</t>
  </si>
  <si>
    <t>a_goose242</t>
  </si>
  <si>
    <t>lecha760</t>
  </si>
  <si>
    <t>alex760gus</t>
  </si>
  <si>
    <t>GusarovAA@my.msu.ru</t>
  </si>
  <si>
    <t>Давидян Владислав Вадимович</t>
  </si>
  <si>
    <t>Давидян Владислав</t>
  </si>
  <si>
    <t>Одинцово</t>
  </si>
  <si>
    <t>+79688729753</t>
  </si>
  <si>
    <t>https://vk.com/vladdavidyan</t>
  </si>
  <si>
    <t>vladislav.davidyan15@gmail.com</t>
  </si>
  <si>
    <t>@vladislav_davidyan</t>
  </si>
  <si>
    <t>Дмитриева Татьяна Юрьевна</t>
  </si>
  <si>
    <t>Дмитриева Татьяна</t>
  </si>
  <si>
    <t>ГЗ Б 616П</t>
  </si>
  <si>
    <t>vk.com/twetta</t>
  </si>
  <si>
    <t>rain.illusive@gmail.com</t>
  </si>
  <si>
    <t>http://t.me/st_valentines_bot?start=286068841</t>
  </si>
  <si>
    <t>twetta</t>
  </si>
  <si>
    <t>_twetta_</t>
  </si>
  <si>
    <t>dmitrievaty@my.msu.ru</t>
  </si>
  <si>
    <t>t.me/st_valentines_bot?start=286068841</t>
  </si>
  <si>
    <t>Доровских Дмитрий Игоревич</t>
  </si>
  <si>
    <t>Доровских Дмитрий</t>
  </si>
  <si>
    <t>м. Медведково</t>
  </si>
  <si>
    <t>Закупки,УРС,</t>
  </si>
  <si>
    <t>https://vk.com/deamterr</t>
  </si>
  <si>
    <t>deamterr@gmail.com</t>
  </si>
  <si>
    <t>DorovskikhDI@my.msu.ru</t>
  </si>
  <si>
    <t>Доросева Екатерина Сергеевна</t>
  </si>
  <si>
    <t>ГЗ, Б-668 левая</t>
  </si>
  <si>
    <t>vk.com/kate_doroseva</t>
  </si>
  <si>
    <t>kaatedoroseva@gmail.com</t>
  </si>
  <si>
    <t>kate_doroseva</t>
  </si>
  <si>
    <t>Дроздова Елизавета Александровна</t>
  </si>
  <si>
    <t>@morinomore</t>
  </si>
  <si>
    <t>@HBPotatoChips</t>
  </si>
  <si>
    <t>lizzydrr@gmail.com</t>
  </si>
  <si>
    <t>Дрынкин Алексей Антонович</t>
  </si>
  <si>
    <t>Дрынкин Алексей</t>
  </si>
  <si>
    <t>https://vk.com/micromoleklcula1100</t>
  </si>
  <si>
    <t>drynkin.alexey@gmail.com</t>
  </si>
  <si>
    <t>DrynkinAA@my.msu.ru</t>
  </si>
  <si>
    <t>Дьяченко Роман Романович</t>
  </si>
  <si>
    <t>Дьяченко Роман</t>
  </si>
  <si>
    <t>+79164667931</t>
  </si>
  <si>
    <t>vk.com/id381148645</t>
  </si>
  <si>
    <t>s02200279@gse.cs.msu.ru</t>
  </si>
  <si>
    <t>Дятлинко Екатерина Сергеевна</t>
  </si>
  <si>
    <t>Дятлинко Екатерина</t>
  </si>
  <si>
    <t>ГЗ В715</t>
  </si>
  <si>
    <t>МП,Фото,</t>
  </si>
  <si>
    <t>https://vk.com/kdyatlinko</t>
  </si>
  <si>
    <t>katedyatlinko2002@gmail.com</t>
  </si>
  <si>
    <t>kdtln</t>
  </si>
  <si>
    <t>diat.ln</t>
  </si>
  <si>
    <t>DyatlinkoES@my.msu.ru</t>
  </si>
  <si>
    <t>Ежова Ксения Сергеевна</t>
  </si>
  <si>
    <t>м. ВДНХ</t>
  </si>
  <si>
    <t>КП</t>
  </si>
  <si>
    <t>vk.com/ezh_k</t>
  </si>
  <si>
    <t>ksezho@gmail.com</t>
  </si>
  <si>
    <t>ezh.k</t>
  </si>
  <si>
    <t>Елисова Анастасия Алексеевна</t>
  </si>
  <si>
    <t>Елисова Анастасия</t>
  </si>
  <si>
    <t>м.Беляево</t>
  </si>
  <si>
    <t>Закупки,МП,</t>
  </si>
  <si>
    <t>+79859367474</t>
  </si>
  <si>
    <t>https://vk.com/nastushasova</t>
  </si>
  <si>
    <t>s02210381@gse.cs.msu.ru</t>
  </si>
  <si>
    <t>@inastyasova</t>
  </si>
  <si>
    <t>_nastyasova</t>
  </si>
  <si>
    <t>Elisovaaa@my.msu.ru</t>
  </si>
  <si>
    <t>Ефремова Ольга</t>
  </si>
  <si>
    <t>м. Коньково</t>
  </si>
  <si>
    <t>vk.com/iamoslik</t>
  </si>
  <si>
    <t>iamoslik@mail.ru</t>
  </si>
  <si>
    <t>olya_yefremova</t>
  </si>
  <si>
    <t>iamoslik</t>
  </si>
  <si>
    <t>Журихин Юрий Павлович</t>
  </si>
  <si>
    <t>Журихин Юрий</t>
  </si>
  <si>
    <t>м. Печатники</t>
  </si>
  <si>
    <t>IT,</t>
  </si>
  <si>
    <t>vk.com/yury_zh</t>
  </si>
  <si>
    <t>yuryzhurikhin@gmail.com</t>
  </si>
  <si>
    <t>yuryzhurikhin</t>
  </si>
  <si>
    <t>yury_zh</t>
  </si>
  <si>
    <t>yury__</t>
  </si>
  <si>
    <t>ZhurikhinYP@my.msu.ru</t>
  </si>
  <si>
    <t>Заварзин Владислав</t>
  </si>
  <si>
    <t>vk.com/zavarzin95</t>
  </si>
  <si>
    <t>Завозин Дмитрий Алексеевич</t>
  </si>
  <si>
    <t>Завозин Дмитрий</t>
  </si>
  <si>
    <t>+79175680117</t>
  </si>
  <si>
    <t>vk.com/id341052111</t>
  </si>
  <si>
    <t xml:space="preserve">Загородных Александр Владимирович </t>
  </si>
  <si>
    <t>Владыкино</t>
  </si>
  <si>
    <t>vk.com/zav906</t>
  </si>
  <si>
    <t>@zav609</t>
  </si>
  <si>
    <t>ntyybc331@gmail.com</t>
  </si>
  <si>
    <t>Задорин Егор Романович</t>
  </si>
  <si>
    <t>м. Проспект Вернадского</t>
  </si>
  <si>
    <t>vk.com/tsoimertw</t>
  </si>
  <si>
    <t>egorzador00@gmail.com</t>
  </si>
  <si>
    <t>tsoimertv</t>
  </si>
  <si>
    <t>vinihoop</t>
  </si>
  <si>
    <t>shithappyness</t>
  </si>
  <si>
    <t>Задорожная Юлия Андреевна</t>
  </si>
  <si>
    <t>Задорожная Юлия</t>
  </si>
  <si>
    <t>МП,IT,</t>
  </si>
  <si>
    <t>https://vk.com/jzadoroznaja2707</t>
  </si>
  <si>
    <t>j.zadorozhnaya2707@gmail.com</t>
  </si>
  <si>
    <t>juliazadorozhnaya</t>
  </si>
  <si>
    <t>j_zadorozhnaya</t>
  </si>
  <si>
    <t>zadorozhnayaya@my.msu.ru</t>
  </si>
  <si>
    <t>Зайдуллин Ризван Рустемович</t>
  </si>
  <si>
    <t>Зайдуллин Ризван</t>
  </si>
  <si>
    <t>ДСЛ Б618</t>
  </si>
  <si>
    <t>МП,HR,</t>
  </si>
  <si>
    <t>vk.com/id220969522</t>
  </si>
  <si>
    <t>rizvanzaidullin@gmail.com</t>
  </si>
  <si>
    <t>rizvan_2001</t>
  </si>
  <si>
    <t>zaydullinrr@my.msu.ru</t>
  </si>
  <si>
    <t>Залялютдинова Кристина Рустамовна</t>
  </si>
  <si>
    <t>планерная (Химки)</t>
  </si>
  <si>
    <t>Матпомощь, медиа</t>
  </si>
  <si>
    <t>vk.com/0kristyz0</t>
  </si>
  <si>
    <t>zkr0019@gmail.com</t>
  </si>
  <si>
    <t>user27756747</t>
  </si>
  <si>
    <t>_kristyz_</t>
  </si>
  <si>
    <t>Звонцов Алексей</t>
  </si>
  <si>
    <t>ДСЛ А808</t>
  </si>
  <si>
    <t>vk.com/mr_sab</t>
  </si>
  <si>
    <t>lesha_12let@mail.ru</t>
  </si>
  <si>
    <t>@sabruver</t>
  </si>
  <si>
    <t>Золотарев Дмитрий Витальевич</t>
  </si>
  <si>
    <t>Золотарев Дмитрий</t>
  </si>
  <si>
    <t>ДСЛ Б717</t>
  </si>
  <si>
    <t>Декораторы, Работа со Сторонними Организациями, Дизайн</t>
  </si>
  <si>
    <t>https://vk.com/id120356157</t>
  </si>
  <si>
    <t>ub8caf@gmail.com</t>
  </si>
  <si>
    <t>ernem</t>
  </si>
  <si>
    <t>89232340000</t>
  </si>
  <si>
    <t>Зянчурин Игорь Айратович</t>
  </si>
  <si>
    <t>Зянчурин Игорь</t>
  </si>
  <si>
    <t>м. Бульвар Рокоссовского / Преображенская площадь</t>
  </si>
  <si>
    <t>vk.com/ingv0rr</t>
  </si>
  <si>
    <t>igorek182002@gmail.com</t>
  </si>
  <si>
    <t>@ingv0rr</t>
  </si>
  <si>
    <t>ingv0rr</t>
  </si>
  <si>
    <t>ZyanchurinIA@my.msu.ru</t>
  </si>
  <si>
    <t>Иванов Максим</t>
  </si>
  <si>
    <t>ДСЛ Б512</t>
  </si>
  <si>
    <t>Склад, IT</t>
  </si>
  <si>
    <t>https://vk.com/maksimus3</t>
  </si>
  <si>
    <t>max2000.gym5cheb@yandex.ru</t>
  </si>
  <si>
    <t>maximus3</t>
  </si>
  <si>
    <t>Иванова Мария Сергеевна</t>
  </si>
  <si>
    <t>Исаев Матвей Владимирович</t>
  </si>
  <si>
    <t>Исаев Матвей</t>
  </si>
  <si>
    <t>ДСЛ А603</t>
  </si>
  <si>
    <t>Матвей Исаев (vk.com)</t>
  </si>
  <si>
    <t>matveyisaev16@gmail.com</t>
  </si>
  <si>
    <t>matteus116</t>
  </si>
  <si>
    <t>IsaevMV@my.msu.ru</t>
  </si>
  <si>
    <t>Исаков Адам Захарович</t>
  </si>
  <si>
    <t>Исаков Адам</t>
  </si>
  <si>
    <t>р-н Раменки</t>
  </si>
  <si>
    <t>Медиа,IT,</t>
  </si>
  <si>
    <t>https://vk.com/id634066284</t>
  </si>
  <si>
    <t>ad.isakoff@yandex.ru</t>
  </si>
  <si>
    <t>mov_eax_adam</t>
  </si>
  <si>
    <t>_adam258_</t>
  </si>
  <si>
    <t>IsakovAZ@my.msu.ru</t>
  </si>
  <si>
    <t>Исаков Данияр Раатович</t>
  </si>
  <si>
    <t>Исаков Данияр</t>
  </si>
  <si>
    <t>м. 1905 года</t>
  </si>
  <si>
    <t>vk.com/piercinglight</t>
  </si>
  <si>
    <t>daniyar800@gmail.com</t>
  </si>
  <si>
    <t>t.me/st_valentines_bot?start=412096071</t>
  </si>
  <si>
    <t>piercingLight</t>
  </si>
  <si>
    <t>piercing__light</t>
  </si>
  <si>
    <t>IsakovDR@my.msu.ru</t>
  </si>
  <si>
    <t>Исмурзенов Абай Ерденович</t>
  </si>
  <si>
    <t>Исмурзенов Абай</t>
  </si>
  <si>
    <t>+79504864011</t>
  </si>
  <si>
    <t>vk.com/abyka13</t>
  </si>
  <si>
    <t>dechartan13@gmail.com</t>
  </si>
  <si>
    <t>Кабиев Руслан Вадимович</t>
  </si>
  <si>
    <t>Кабиев Руслан</t>
  </si>
  <si>
    <t>419/2</t>
  </si>
  <si>
    <t>ДС Б537</t>
  </si>
  <si>
    <t>Досуг,Спонсоры,</t>
  </si>
  <si>
    <t>vk.com/rkabiev</t>
  </si>
  <si>
    <t>rkuslan24106@gmail.com</t>
  </si>
  <si>
    <t>Rkruslan</t>
  </si>
  <si>
    <t>roflenruslan</t>
  </si>
  <si>
    <t>KabievRV@my.msu.ru</t>
  </si>
  <si>
    <t>Кадерова Надия Ренатовна</t>
  </si>
  <si>
    <t>Кадерова Надия</t>
  </si>
  <si>
    <t>э541андэк</t>
  </si>
  <si>
    <t>Закупки,Информирование,Сценаристы,</t>
  </si>
  <si>
    <t>+79163575756</t>
  </si>
  <si>
    <t>https://vk.com/nadyakaderova</t>
  </si>
  <si>
    <t>s02200382@gse.cs.msu.ru</t>
  </si>
  <si>
    <t>nadyakaderova</t>
  </si>
  <si>
    <t>kaderovanr@my.msu.ru</t>
  </si>
  <si>
    <t>Кадченко Иван Евгеньевич</t>
  </si>
  <si>
    <t>Кадченко Иван</t>
  </si>
  <si>
    <t>ДСЛ Б515</t>
  </si>
  <si>
    <t>https://vk.com/ivankadchenko</t>
  </si>
  <si>
    <t>kadchenko.ivan@gmail.com</t>
  </si>
  <si>
    <t>KadchenkoIE</t>
  </si>
  <si>
    <t>ivan_kadchenko</t>
  </si>
  <si>
    <t>KadchenkoIE@my.msu.ru</t>
  </si>
  <si>
    <t>Калачев Андрей Сергеевич</t>
  </si>
  <si>
    <t>Калачев Андрей</t>
  </si>
  <si>
    <t>м. Сходненская</t>
  </si>
  <si>
    <t>vk.com/id148963798</t>
  </si>
  <si>
    <t>Andrey.s.kalachev@gmail.com</t>
  </si>
  <si>
    <t>ananas257</t>
  </si>
  <si>
    <t>Beelived</t>
  </si>
  <si>
    <t>_beelived_, ananas257</t>
  </si>
  <si>
    <t>Калашников Дмитрий Павлович</t>
  </si>
  <si>
    <t>м. Рязанский проспект</t>
  </si>
  <si>
    <t>Техники, IT</t>
  </si>
  <si>
    <t>vk.com/dmkalash</t>
  </si>
  <si>
    <t>dmkalash.mail@gmail.com</t>
  </si>
  <si>
    <t>user88832637</t>
  </si>
  <si>
    <t>dmkalash</t>
  </si>
  <si>
    <t>Кандаракова Мария Олеговна</t>
  </si>
  <si>
    <t>Кандаракова Мария</t>
  </si>
  <si>
    <t>м.Коммунарка</t>
  </si>
  <si>
    <t>https://vk.com/id83471033</t>
  </si>
  <si>
    <t>maria.kandarakova@gmail.com</t>
  </si>
  <si>
    <t>Капранов Степан Сергеевич</t>
  </si>
  <si>
    <t>Капранов Степан</t>
  </si>
  <si>
    <t>ГЗ Б1632</t>
  </si>
  <si>
    <t>+79176552390</t>
  </si>
  <si>
    <t>https://vk.com/id438797676</t>
  </si>
  <si>
    <t>step4kap@gmail.com</t>
  </si>
  <si>
    <t>kapranovss@my.msu.ru</t>
  </si>
  <si>
    <t>Карнаухов Михаил Александрович</t>
  </si>
  <si>
    <t>дсл</t>
  </si>
  <si>
    <t>vk.com/mkarnaukhoff</t>
  </si>
  <si>
    <t>@takemary</t>
  </si>
  <si>
    <t>mkarnaukhoff@gmail.com</t>
  </si>
  <si>
    <t>Карпинская Анна Викторовна</t>
  </si>
  <si>
    <t>Пролетарская/ГЗ/Дубна</t>
  </si>
  <si>
    <t>https://vk.com/anya.karpinskaya</t>
  </si>
  <si>
    <t>https://t.me/anyakarpinskaya</t>
  </si>
  <si>
    <t>annakarpinckaya@gmail.com</t>
  </si>
  <si>
    <t>Ким Роман Германович</t>
  </si>
  <si>
    <t>Пролетарская/гз/кузьминки</t>
  </si>
  <si>
    <t>@kamerooon</t>
  </si>
  <si>
    <t>@karman_rim</t>
  </si>
  <si>
    <t>kormanrim@gmail.com</t>
  </si>
  <si>
    <t>Кинзябаев Ильяс Рустамович</t>
  </si>
  <si>
    <t>ГЗ, корпус Б, 734л</t>
  </si>
  <si>
    <t>Спонсоры, БДНС</t>
  </si>
  <si>
    <t>vk.com/id203396225</t>
  </si>
  <si>
    <t>Kinzyabaev.smd@gmail.com</t>
  </si>
  <si>
    <t>knzbv</t>
  </si>
  <si>
    <t>Knzbv</t>
  </si>
  <si>
    <t>huje_tatarina</t>
  </si>
  <si>
    <t>Кириллова Анастасия Павловна</t>
  </si>
  <si>
    <t>ДСЛ, Б729</t>
  </si>
  <si>
    <t>Паблик, спонсоры</t>
  </si>
  <si>
    <t>vk.com/anastasiakirillova2000</t>
  </si>
  <si>
    <t>kirillovap22@gmail.com</t>
  </si>
  <si>
    <t>nastasia_k</t>
  </si>
  <si>
    <t>kir_nastasia</t>
  </si>
  <si>
    <t>Киселева Елизавета Сергеевна</t>
  </si>
  <si>
    <t>Instagram,</t>
  </si>
  <si>
    <t>https://vk.com/kiiiselll</t>
  </si>
  <si>
    <t>kiiiselll3103@gmail.com</t>
  </si>
  <si>
    <t>@kiiiselll</t>
  </si>
  <si>
    <t>kiiiselll</t>
  </si>
  <si>
    <t>Климина Анна Сергеевна</t>
  </si>
  <si>
    <t>Декораторы(j),дизайн(j)</t>
  </si>
  <si>
    <t>vk.com/id146822200</t>
  </si>
  <si>
    <t>klian19994@gmail.com</t>
  </si>
  <si>
    <t>user55275499</t>
  </si>
  <si>
    <t>Anna Klimina</t>
  </si>
  <si>
    <t>sunny_memory_for_you</t>
  </si>
  <si>
    <t>Климина Анна</t>
  </si>
  <si>
    <t>м. Курьяново (D2)</t>
  </si>
  <si>
    <t>https://vk.com/just_to_feel_alive</t>
  </si>
  <si>
    <t>klian19994@gmai.com</t>
  </si>
  <si>
    <t>@Klimina_Anna</t>
  </si>
  <si>
    <t>Кобылинский Михаил Романович</t>
  </si>
  <si>
    <t xml:space="preserve">Октябрьское поле </t>
  </si>
  <si>
    <t>https://vk.com/kob_mr</t>
  </si>
  <si>
    <t>@kobylinskii</t>
  </si>
  <si>
    <t>pikachydov@gmail.com</t>
  </si>
  <si>
    <t>Ковалевский Андрей Петрович</t>
  </si>
  <si>
    <t>Ковалевский Андрей</t>
  </si>
  <si>
    <t>Южное Бутово, м. Бунинская аллея</t>
  </si>
  <si>
    <t>IT (j), Техники (j)</t>
  </si>
  <si>
    <t>vk.com/kovalevskya</t>
  </si>
  <si>
    <t>petrovich4ch@gmail.com</t>
  </si>
  <si>
    <t>reika_kanareika</t>
  </si>
  <si>
    <t>kovalevsky2612</t>
  </si>
  <si>
    <t>Кожевец Полина Юрьевна</t>
  </si>
  <si>
    <t>метро Калужская</t>
  </si>
  <si>
    <t>Паблик, Instagram</t>
  </si>
  <si>
    <t>vk.com/polinipsycho</t>
  </si>
  <si>
    <t>polinakozhevec@gmail.com</t>
  </si>
  <si>
    <t>polinipsycho</t>
  </si>
  <si>
    <t>Кожемякова Елизавета Александровна</t>
  </si>
  <si>
    <t>Кожемякова Елизавета</t>
  </si>
  <si>
    <t>+79063835008</t>
  </si>
  <si>
    <t>https://vk.com/provvalek</t>
  </si>
  <si>
    <t>liza.kozhemyakova@gmail.com</t>
  </si>
  <si>
    <t>Кожух Полина</t>
  </si>
  <si>
    <t>м. Войковская</t>
  </si>
  <si>
    <t>vk.com/polina_kozhukh</t>
  </si>
  <si>
    <t>kozhukhpolinaa@gmail.com</t>
  </si>
  <si>
    <t>kozhukhpolina</t>
  </si>
  <si>
    <t>Кожух Полина Дмитриевна</t>
  </si>
  <si>
    <t>polinakozhukh</t>
  </si>
  <si>
    <t>Кокешова Айсылу Эдуардовна</t>
  </si>
  <si>
    <t>Кокешова Айсылу</t>
  </si>
  <si>
    <t>https://vk.com/pukanitoelbombito</t>
  </si>
  <si>
    <t>tgxsfhh@gmail.com</t>
  </si>
  <si>
    <t>Колобов Захар</t>
  </si>
  <si>
    <t>https://vk.com/zakhariok</t>
  </si>
  <si>
    <t>zakharkolobov3@gmail.com</t>
  </si>
  <si>
    <t>@zakhario</t>
  </si>
  <si>
    <t>Комлева Юлия Вячеславовна</t>
  </si>
  <si>
    <t>Комлева Юлия</t>
  </si>
  <si>
    <t>https://vk.com/id65651944</t>
  </si>
  <si>
    <t>komlevpa17@gmail.com</t>
  </si>
  <si>
    <t>yulia17153</t>
  </si>
  <si>
    <t>komlevajuli</t>
  </si>
  <si>
    <t>KomlevaYV@my.msu.ru</t>
  </si>
  <si>
    <t>Конюхова Мария Андреевна</t>
  </si>
  <si>
    <t>Речной вокзал</t>
  </si>
  <si>
    <t>https://vk.com/miss_mmarysh</t>
  </si>
  <si>
    <t>@mashunyaa_k</t>
  </si>
  <si>
    <t>marykonyukhova@gmail.com</t>
  </si>
  <si>
    <t>Копнина Ирина Андреевна</t>
  </si>
  <si>
    <t>ДСЛ, Б732</t>
  </si>
  <si>
    <t>КП, Работа в ДСЛ</t>
  </si>
  <si>
    <t>vk.com/id230727244</t>
  </si>
  <si>
    <t>irina.kopnina18@gmail.com</t>
  </si>
  <si>
    <t>belkairina</t>
  </si>
  <si>
    <t>Коротчук Анастасия Игоревна</t>
  </si>
  <si>
    <t>Коротчук Анастасия</t>
  </si>
  <si>
    <t>ГЗ Б515(правая)</t>
  </si>
  <si>
    <t>vk.com/pizzarik</t>
  </si>
  <si>
    <t>korochucha@gmail.com</t>
  </si>
  <si>
    <t>korochuch_a</t>
  </si>
  <si>
    <t>pizzarik</t>
  </si>
  <si>
    <t>KorotchukAI@my.msu.ru</t>
  </si>
  <si>
    <t>Корчагина Анна Вячеславовна</t>
  </si>
  <si>
    <t>Корчагина Анна</t>
  </si>
  <si>
    <t>ДСЛ б638</t>
  </si>
  <si>
    <t>https://vk.com/id190892972</t>
  </si>
  <si>
    <t>Adsd34343@gmail.com</t>
  </si>
  <si>
    <t>t.me/st_valentines_bot?start=1074490918</t>
  </si>
  <si>
    <t>korchaginaav@my.msu.ru</t>
  </si>
  <si>
    <t>Костин Игорь Олегович (Рожков)</t>
  </si>
  <si>
    <t>Новокосино</t>
  </si>
  <si>
    <t>vk.com/fulstock</t>
  </si>
  <si>
    <t>fulstocky@gmail.com</t>
  </si>
  <si>
    <t>fulstock</t>
  </si>
  <si>
    <t>fulstocky</t>
  </si>
  <si>
    <t>Костин Родион Николаевич</t>
  </si>
  <si>
    <t>Костин Родион</t>
  </si>
  <si>
    <t>Мичуринский проспект</t>
  </si>
  <si>
    <t>vk.com/kostin.rodion</t>
  </si>
  <si>
    <t>i.am.rkostin@gmail.com</t>
  </si>
  <si>
    <t>rodion_kostin</t>
  </si>
  <si>
    <t>kostinrodion</t>
  </si>
  <si>
    <t>rodyakostin</t>
  </si>
  <si>
    <t>KostinRN@my.msu.ru</t>
  </si>
  <si>
    <t>Котельницкий Константин Александрович</t>
  </si>
  <si>
    <t>Котельницкий Константин</t>
  </si>
  <si>
    <t>Москва</t>
  </si>
  <si>
    <t>РСО,</t>
  </si>
  <si>
    <t>https://m.vk.com/k_kotelnitskiy</t>
  </si>
  <si>
    <t>konst2002kotel@mail.ru</t>
  </si>
  <si>
    <t>@my_profile_kk</t>
  </si>
  <si>
    <t>k_kotelnitskiy</t>
  </si>
  <si>
    <t>KotelnitskiyKA@my.msu.ru</t>
  </si>
  <si>
    <t>Котляревский Артем Евгеньевич</t>
  </si>
  <si>
    <t>Котляревский Артем</t>
  </si>
  <si>
    <t>ДСЛ 406</t>
  </si>
  <si>
    <t>Спонсоры,Зачет,</t>
  </si>
  <si>
    <t>vk.com/a_r_k_r</t>
  </si>
  <si>
    <t>akekhv@gmail.com</t>
  </si>
  <si>
    <t>a_r_k_r</t>
  </si>
  <si>
    <t>@ak_official</t>
  </si>
  <si>
    <t>artem_kotliarevskiy</t>
  </si>
  <si>
    <t>Котова Анна Игоревна</t>
  </si>
  <si>
    <t>Котова Анна</t>
  </si>
  <si>
    <t>м. Тропарево</t>
  </si>
  <si>
    <t>https://vk.com/anya_ktv</t>
  </si>
  <si>
    <t>annaki8865@gmail.com</t>
  </si>
  <si>
    <t>anna8865</t>
  </si>
  <si>
    <t>kotik__anne</t>
  </si>
  <si>
    <t>Крет Вячеслав Александрович</t>
  </si>
  <si>
    <t>Крет Вячеслав</t>
  </si>
  <si>
    <t>ДСЛ 725Б</t>
  </si>
  <si>
    <t>Профорги,Спонсоры,</t>
  </si>
  <si>
    <t>+79104940992</t>
  </si>
  <si>
    <t>https://vk.com/tinten_msu_bs_champion</t>
  </si>
  <si>
    <t>slavik.mr.kret@mail.ru</t>
  </si>
  <si>
    <t>@Vyacheslav_TiNTen</t>
  </si>
  <si>
    <t>kretva@my.msu.ru</t>
  </si>
  <si>
    <t>Кудисов Артем Аркадьевич</t>
  </si>
  <si>
    <t>Кудисов Артем</t>
  </si>
  <si>
    <t>м. Нахимовский проспект</t>
  </si>
  <si>
    <t>+79173784643</t>
  </si>
  <si>
    <t>https://vk.com/artemkudisov</t>
  </si>
  <si>
    <t>dark.artbeam@gmail.com</t>
  </si>
  <si>
    <t>@Aechmea</t>
  </si>
  <si>
    <t>artem.kudisov</t>
  </si>
  <si>
    <t>KudisovAA@my.msu.ru</t>
  </si>
  <si>
    <t>Кузнецова Мария Павловна</t>
  </si>
  <si>
    <t>м. Новокосино</t>
  </si>
  <si>
    <t>Информирование, сценаристы</t>
  </si>
  <si>
    <t>vk.com/maryk_queen</t>
  </si>
  <si>
    <t>masha.kuznet@gmail.com</t>
  </si>
  <si>
    <t>maria_kuz</t>
  </si>
  <si>
    <t>MariaKuz</t>
  </si>
  <si>
    <t>maria.kuznet</t>
  </si>
  <si>
    <t>Кулакова Мария Алексеевна</t>
  </si>
  <si>
    <t>Кулакова Мария</t>
  </si>
  <si>
    <t>м. Митино</t>
  </si>
  <si>
    <t>vk.com/id62844180</t>
  </si>
  <si>
    <t>manyakulakova@gmail.com</t>
  </si>
  <si>
    <t>t.me/st_valentines_bot?start=156090715</t>
  </si>
  <si>
    <t>mashgen</t>
  </si>
  <si>
    <t>maria__mrr</t>
  </si>
  <si>
    <t>Кулешов Игорь Александрович</t>
  </si>
  <si>
    <t>м. Профсоюзная</t>
  </si>
  <si>
    <t>vk.com/igorkuleshov</t>
  </si>
  <si>
    <t>Kuleshovigor2103@gmail.com</t>
  </si>
  <si>
    <t>igor84997691</t>
  </si>
  <si>
    <t>s_p_igor</t>
  </si>
  <si>
    <t>KulakovaMA@my.msu.ru</t>
  </si>
  <si>
    <t>Кустенков Александр Александрович</t>
  </si>
  <si>
    <t>kust_aa</t>
  </si>
  <si>
    <t>@kust_aa</t>
  </si>
  <si>
    <t>stevehh251@gmail.com</t>
  </si>
  <si>
    <t>Куулар Валерия Романовна</t>
  </si>
  <si>
    <t>Куулар Валерия</t>
  </si>
  <si>
    <t>Сценаристы,Instagram,Креативная группа,</t>
  </si>
  <si>
    <t>https://vk.com/leraleraleraaaaaa</t>
  </si>
  <si>
    <t>vrkuular@gmail.com</t>
  </si>
  <si>
    <t>@lerakuular</t>
  </si>
  <si>
    <t>valeria_kuular</t>
  </si>
  <si>
    <t>Кяжин Никита Олегович</t>
  </si>
  <si>
    <t>Кяжин Никита</t>
  </si>
  <si>
    <t>м.Митино</t>
  </si>
  <si>
    <t>https://vk.com/2markusha2</t>
  </si>
  <si>
    <t>markushajulian@gmail.com</t>
  </si>
  <si>
    <t>https://t.me/anonimvalentinbot?start=701970724</t>
  </si>
  <si>
    <t>Ладысева Алина Александровна</t>
  </si>
  <si>
    <t>Ладысева Алина</t>
  </si>
  <si>
    <t>Экоблок,</t>
  </si>
  <si>
    <t>+79807102917</t>
  </si>
  <si>
    <t>https://vk.com/id143603533</t>
  </si>
  <si>
    <t>alinaladyseva03@gmail.com</t>
  </si>
  <si>
    <t>a_ladyseva</t>
  </si>
  <si>
    <t>KyazhinNO@my.msu.ru</t>
  </si>
  <si>
    <t>Ланбин Николай Андреевич</t>
  </si>
  <si>
    <t>Ланбин Николай</t>
  </si>
  <si>
    <t>Химки, м.Ховрино</t>
  </si>
  <si>
    <t>Склад,Техники,</t>
  </si>
  <si>
    <t>vk.com/kolyalan</t>
  </si>
  <si>
    <t>kolyalanbin@gmail.com</t>
  </si>
  <si>
    <t>kolyalan</t>
  </si>
  <si>
    <t>nlanbin</t>
  </si>
  <si>
    <t>lanbinna@my.msu.ru</t>
  </si>
  <si>
    <t>LadysevaAA@my.msu.ru</t>
  </si>
  <si>
    <t>Лапиков Владислав Андреевич</t>
  </si>
  <si>
    <t>Лапиков Владислав</t>
  </si>
  <si>
    <t>+79857932454</t>
  </si>
  <si>
    <t>https://vk.com/vladislavlapikov</t>
  </si>
  <si>
    <t>lapikov.vladislav.mail@gmail.com</t>
  </si>
  <si>
    <t>http://t.me/st_valentines_bot?start=926613707</t>
  </si>
  <si>
    <t>Лаптев Алексей Сергеевич</t>
  </si>
  <si>
    <t>ДСЛ, В417</t>
  </si>
  <si>
    <t>vk.com/zaebaforever</t>
  </si>
  <si>
    <t>alex.laptev123987@gmail.com</t>
  </si>
  <si>
    <t>alexis_WN</t>
  </si>
  <si>
    <t>alexey_WN</t>
  </si>
  <si>
    <t>lapikovva@my.msu.ru</t>
  </si>
  <si>
    <t>Лаптев Алексей</t>
  </si>
  <si>
    <t>vk.com/imsodumb</t>
  </si>
  <si>
    <t>@alexey_cta</t>
  </si>
  <si>
    <t>alexey_cta</t>
  </si>
  <si>
    <t>Латыпов Шамиль Ильдарович</t>
  </si>
  <si>
    <t>Латыпов Шамиль</t>
  </si>
  <si>
    <t>м. Саларьево</t>
  </si>
  <si>
    <t>Фото,Видео,</t>
  </si>
  <si>
    <t>vk.com/shoma_lat</t>
  </si>
  <si>
    <t>latypovshamil2001@gmail.com</t>
  </si>
  <si>
    <t>sham182</t>
  </si>
  <si>
    <t>@shoma_lat</t>
  </si>
  <si>
    <t>Shoma_lattt</t>
  </si>
  <si>
    <t>LaptevAS@my.msu.ru</t>
  </si>
  <si>
    <t>Лебедев Андрей Алексеевич</t>
  </si>
  <si>
    <t>Орехово</t>
  </si>
  <si>
    <t>https://vk.me/lebedev.andrei</t>
  </si>
  <si>
    <t>@lebedevandrei</t>
  </si>
  <si>
    <t>a.lebedev234@gmail.com</t>
  </si>
  <si>
    <t>Лебков Семен Дмитриевич</t>
  </si>
  <si>
    <t>Лебков Семен</t>
  </si>
  <si>
    <t>ГЗ Б742(левая)</t>
  </si>
  <si>
    <t>Досуг,КП,</t>
  </si>
  <si>
    <t>vk.com/sdl00</t>
  </si>
  <si>
    <t>s.lebkov@gmail.com</t>
  </si>
  <si>
    <t>semeow</t>
  </si>
  <si>
    <t>_se.meow</t>
  </si>
  <si>
    <t>latypovsi@my.msu.ru</t>
  </si>
  <si>
    <t>Линник Александр Владимирович</t>
  </si>
  <si>
    <t>vk.com/wesban</t>
  </si>
  <si>
    <t>wesban1@gmail.com</t>
  </si>
  <si>
    <t>wesban</t>
  </si>
  <si>
    <t>Wesban</t>
  </si>
  <si>
    <t>mc_wesban</t>
  </si>
  <si>
    <t>Лойко Анна Андреевна</t>
  </si>
  <si>
    <t>Медиа, дизайн</t>
  </si>
  <si>
    <t>vk.com/loyko_anuta</t>
  </si>
  <si>
    <t>anechka.loechka@gmail.com</t>
  </si>
  <si>
    <t>anniebrighlights</t>
  </si>
  <si>
    <t>Ломоносова Вероника Евгеньевна</t>
  </si>
  <si>
    <t>Ломоносова Вероника</t>
  </si>
  <si>
    <t>м. Ломоносовкий проспект</t>
  </si>
  <si>
    <t>vk.com/vseklubnichno</t>
  </si>
  <si>
    <t>ve.lomonosova@gmail.com</t>
  </si>
  <si>
    <t>http://t.me/st_valentines_bot?start=356795428</t>
  </si>
  <si>
    <t>nesmeyana_ts</t>
  </si>
  <si>
    <t>nesmeyana.ts</t>
  </si>
  <si>
    <t>Лукинов Никита Денисович</t>
  </si>
  <si>
    <t>Лукинов Никита</t>
  </si>
  <si>
    <t>+79629517957</t>
  </si>
  <si>
    <t>vk.com/sageininsanity</t>
  </si>
  <si>
    <t>nikitalukinov32@gmail.com</t>
  </si>
  <si>
    <t>Лукьяненко Анастасия Александровна</t>
  </si>
  <si>
    <t>Лукьяненко Анастасия</t>
  </si>
  <si>
    <t>https://vk.com/a__luka</t>
  </si>
  <si>
    <t>st02210039@gse.cs.msu.ru</t>
  </si>
  <si>
    <t>Лычева Екатерина Олеговна</t>
  </si>
  <si>
    <t>Лычева Екатерина</t>
  </si>
  <si>
    <t>+79252588220</t>
  </si>
  <si>
    <t>vk.com/leo1505</t>
  </si>
  <si>
    <t>ekater.lych@gmail.com</t>
  </si>
  <si>
    <t>Лютиков Андрей Алексеевич</t>
  </si>
  <si>
    <t>vk.com/id146007605</t>
  </si>
  <si>
    <t>andrey.lutikov220601@gmail.com</t>
  </si>
  <si>
    <t>LychevaEO@my.msu.ru</t>
  </si>
  <si>
    <t>Макарова Лолия Александровна</t>
  </si>
  <si>
    <t>Макарова Лолия</t>
  </si>
  <si>
    <t>https://vk.com/gagagagoose</t>
  </si>
  <si>
    <t>123.robik@gmail.com</t>
  </si>
  <si>
    <t>Максимова Анастасия Викторовна</t>
  </si>
  <si>
    <t>м. Савеловская</t>
  </si>
  <si>
    <t>Паблик, HR</t>
  </si>
  <si>
    <t>vk.com/sparkling_biscuit</t>
  </si>
  <si>
    <t>maksimova.anastasia@gmail.com</t>
  </si>
  <si>
    <t>ananastasia_</t>
  </si>
  <si>
    <t>SparklingBiscuit</t>
  </si>
  <si>
    <t>sparkling.biscuit</t>
  </si>
  <si>
    <t>Малтусов Кирилл</t>
  </si>
  <si>
    <t>Декораторы,Медиа,РСО,Сценаристы,Техники,</t>
  </si>
  <si>
    <t>Малтусов Кирилл Евгеньевич</t>
  </si>
  <si>
    <t>+79881433710</t>
  </si>
  <si>
    <t>vk.com/maltusoff</t>
  </si>
  <si>
    <t>maltus1305@gmail.com</t>
  </si>
  <si>
    <t>Маренкова Арина Вадимовна</t>
  </si>
  <si>
    <t>Маренкова Арина</t>
  </si>
  <si>
    <t>+7 (963) 787-97-00</t>
  </si>
  <si>
    <t>https://vk.com/marenkova.arina</t>
  </si>
  <si>
    <t>st02210042@gse.cs.msu.ru</t>
  </si>
  <si>
    <t>Мартиросян Арсен Арменович</t>
  </si>
  <si>
    <t>vk.com/arsenmjan</t>
  </si>
  <si>
    <t>diamondhead650@gmail.com</t>
  </si>
  <si>
    <t>arsen_m08</t>
  </si>
  <si>
    <t>Марьясов Максим Михайлович</t>
  </si>
  <si>
    <t>Марьясов Максим</t>
  </si>
  <si>
    <t>vk.com/max.maryasov</t>
  </si>
  <si>
    <t>maryasovhimself2004@gmail.com</t>
  </si>
  <si>
    <t>Машоха Сергей Алексеевич</t>
  </si>
  <si>
    <t>Дизайн, Информирование, медиа</t>
  </si>
  <si>
    <t>vk.com/serezhamashoha</t>
  </si>
  <si>
    <t>mashoha.serezha@gmail.com</t>
  </si>
  <si>
    <t>_pepegaman_</t>
  </si>
  <si>
    <t>pepeman</t>
  </si>
  <si>
    <t>serezha_mashoha</t>
  </si>
  <si>
    <t>Медведев Георгий Михайлович</t>
  </si>
  <si>
    <t>Медведев Георгий</t>
  </si>
  <si>
    <t>319/2</t>
  </si>
  <si>
    <t>https://vk.com/med.gosha</t>
  </si>
  <si>
    <t>s02210468@gse.cs.msu.ru</t>
  </si>
  <si>
    <t>@kloppo0</t>
  </si>
  <si>
    <t>Мещанинов Вячеслав</t>
  </si>
  <si>
    <t>ДСЛ Б628</t>
  </si>
  <si>
    <t>vk.com/limon413</t>
  </si>
  <si>
    <t>meshchaninov01@mail.ru</t>
  </si>
  <si>
    <t>@user69688184</t>
  </si>
  <si>
    <t>Meshchaninov Vyacheslav</t>
  </si>
  <si>
    <t>sl_ave_me</t>
  </si>
  <si>
    <t>medvedevgm@my.msu.ru</t>
  </si>
  <si>
    <t>Мещеряков Алексей Олегович</t>
  </si>
  <si>
    <t>Техники, IT(j)</t>
  </si>
  <si>
    <t>vk.com/alexmeshr</t>
  </si>
  <si>
    <t>alexmeshr@gmail.com</t>
  </si>
  <si>
    <t>@alexmeshr</t>
  </si>
  <si>
    <t>alexmeshr</t>
  </si>
  <si>
    <t>alex_meshr</t>
  </si>
  <si>
    <t>Мещеряков Алексей</t>
  </si>
  <si>
    <t>м. Беляево / Коньково</t>
  </si>
  <si>
    <t>https://vk.com/alexmeshr</t>
  </si>
  <si>
    <t>Мещерякова Юлия Федоровна</t>
  </si>
  <si>
    <t>Мещерякова Юлия</t>
  </si>
  <si>
    <t>Подольск (иногда ГЗ 1215Б)</t>
  </si>
  <si>
    <t>Декораторы,Склад,Сценаристы,</t>
  </si>
  <si>
    <t>vk.com/jumesch</t>
  </si>
  <si>
    <t>yuliya.mes@gmail.com</t>
  </si>
  <si>
    <t>julia_mes</t>
  </si>
  <si>
    <t>ju_mesch</t>
  </si>
  <si>
    <t>mescheryakovao@my.msu.ru</t>
  </si>
  <si>
    <t>Моргунова Ольга Максимовна</t>
  </si>
  <si>
    <t>м. Университет, Профсоюзная</t>
  </si>
  <si>
    <t>vk.com/ololowl3</t>
  </si>
  <si>
    <t>ololowl11235@gmail.com</t>
  </si>
  <si>
    <t>olgamorgunova</t>
  </si>
  <si>
    <t>ololowl3</t>
  </si>
  <si>
    <t>ololowl333</t>
  </si>
  <si>
    <t>MescheryakovaYF@my.msu.ru</t>
  </si>
  <si>
    <t>Мударова Рамина Мухамедовна</t>
  </si>
  <si>
    <t>Мударова Рамина</t>
  </si>
  <si>
    <t>https://m.vk.com/ramina_m_m</t>
  </si>
  <si>
    <t>animarosaceus@gmail.com</t>
  </si>
  <si>
    <t>rinamudarova</t>
  </si>
  <si>
    <t>snow_white_006</t>
  </si>
  <si>
    <t>ramina.m.m</t>
  </si>
  <si>
    <t>БДНС,Дизайн,</t>
  </si>
  <si>
    <t>Муравицкая Екатерина Ярославовна</t>
  </si>
  <si>
    <t>Муравицкая Екатерина</t>
  </si>
  <si>
    <t>vk.com/prost_mur</t>
  </si>
  <si>
    <t>murkamau41@gmail.com</t>
  </si>
  <si>
    <t>@user63958478</t>
  </si>
  <si>
    <t>@MuravitskaiaKate</t>
  </si>
  <si>
    <t>Назарян Марат Гарникович</t>
  </si>
  <si>
    <t>Назарян Марат</t>
  </si>
  <si>
    <t>https://vk.com/mnaz2002</t>
  </si>
  <si>
    <t>Nazaryan12.12.12@gmail.com</t>
  </si>
  <si>
    <t>@marinad_12</t>
  </si>
  <si>
    <t>marat_s_instoi</t>
  </si>
  <si>
    <t>MuravitskayaEY@my.msu.ru</t>
  </si>
  <si>
    <t>Наумов Иван Алексеевич</t>
  </si>
  <si>
    <t>Наумов Иван</t>
  </si>
  <si>
    <t>м. Мичуринский проспект.</t>
  </si>
  <si>
    <t>vk.com/vanyadelta</t>
  </si>
  <si>
    <t>innaumov86@gmail.com</t>
  </si>
  <si>
    <t>vanechik_coffeechik</t>
  </si>
  <si>
    <t>pr0sto_vanya</t>
  </si>
  <si>
    <t>t.me/anonimvalentinbot?start=886590633</t>
  </si>
  <si>
    <t>Нечитайлова Дарья Николаевна</t>
  </si>
  <si>
    <t>vk.com/d_nechitaylova</t>
  </si>
  <si>
    <t>nechitailova.dariya@gmail.com</t>
  </si>
  <si>
    <t>nchtlv</t>
  </si>
  <si>
    <t>Darya_Nechitaylova</t>
  </si>
  <si>
    <t>d_nechit</t>
  </si>
  <si>
    <t>NaumovIA@my.msu.ru</t>
  </si>
  <si>
    <t>Никандрова Александра Евгеньевна</t>
  </si>
  <si>
    <t>Никандрова Александра</t>
  </si>
  <si>
    <t>ГЗ Б507прав</t>
  </si>
  <si>
    <t>Закупки,МП,Техники,</t>
  </si>
  <si>
    <t>vk.com/alexandra_nikandrova</t>
  </si>
  <si>
    <t>alexandra.nikandrova@gmail.com</t>
  </si>
  <si>
    <t>sanya_nik</t>
  </si>
  <si>
    <t>alexandra_nik</t>
  </si>
  <si>
    <t>n.ii.k</t>
  </si>
  <si>
    <t>Никитин Кирилл Александрович</t>
  </si>
  <si>
    <t>Никитин Кирилл</t>
  </si>
  <si>
    <t>https://vk.com/krispin222</t>
  </si>
  <si>
    <t>krispin222@mail.ru</t>
  </si>
  <si>
    <t>@krispin222</t>
  </si>
  <si>
    <t>krispin222</t>
  </si>
  <si>
    <t>NikitinKA1@my.msu.ru</t>
  </si>
  <si>
    <t>Новикова Евгения Константиновна</t>
  </si>
  <si>
    <t>Оганисян Эдгар Гагикович (А)</t>
  </si>
  <si>
    <t>дсл Б502</t>
  </si>
  <si>
    <t>Паблик, досуг</t>
  </si>
  <si>
    <t>vk.com/edgar21082000</t>
  </si>
  <si>
    <t>edgar21082000@gmail.com</t>
  </si>
  <si>
    <t>edgar21082000</t>
  </si>
  <si>
    <t>Озерова Татьяна Александровна</t>
  </si>
  <si>
    <t>Озерова Татьяна</t>
  </si>
  <si>
    <t>м. Селигерская</t>
  </si>
  <si>
    <t>vk.com/cachi13</t>
  </si>
  <si>
    <t>tanyaozerova1318@gmail.com</t>
  </si>
  <si>
    <t>tanusha111</t>
  </si>
  <si>
    <t>@Tata1513</t>
  </si>
  <si>
    <t>Осипова Маргарита Александровна</t>
  </si>
  <si>
    <t>vk.com/bitxilore</t>
  </si>
  <si>
    <t>2977811@gmail.com</t>
  </si>
  <si>
    <t>_bitxilore</t>
  </si>
  <si>
    <t>bitxilore</t>
  </si>
  <si>
    <t>_bitxilore_</t>
  </si>
  <si>
    <t>Осотов Степан Романович</t>
  </si>
  <si>
    <t>Осотов Степан</t>
  </si>
  <si>
    <t>М. Новокосино</t>
  </si>
  <si>
    <t>https://vk.com/carbon6090</t>
  </si>
  <si>
    <t>stepan3331666@gmail.com</t>
  </si>
  <si>
    <t>@Carb0n6090</t>
  </si>
  <si>
    <t>Осташенко Константин Дмитриевич</t>
  </si>
  <si>
    <t>Осташенко Константин</t>
  </si>
  <si>
    <t>Израильский Филиал</t>
  </si>
  <si>
    <t>Haifa</t>
  </si>
  <si>
    <t>+79175417886</t>
  </si>
  <si>
    <t>ostashenkokd@gmail.com</t>
  </si>
  <si>
    <t>t.me/st_valentines_bot?start=366039992</t>
  </si>
  <si>
    <t>@Cub11k</t>
  </si>
  <si>
    <t>kost_ost</t>
  </si>
  <si>
    <t>OsotovSR@my.msu.ru</t>
  </si>
  <si>
    <t>Павлов Александр Николаевич</t>
  </si>
  <si>
    <t>ДСЛ Б639</t>
  </si>
  <si>
    <t>79933167509, 79180317500</t>
  </si>
  <si>
    <t>https://vk.me/aka_bubashlep</t>
  </si>
  <si>
    <t>pavlovalex2006@gmail.com</t>
  </si>
  <si>
    <t>@PrincessOchkazxc</t>
  </si>
  <si>
    <t>OstashenkoKD@my.msu.ru</t>
  </si>
  <si>
    <t>Панина Софья Алексеевна</t>
  </si>
  <si>
    <t xml:space="preserve">яхромская </t>
  </si>
  <si>
    <t>https://vk.com/pansophh</t>
  </si>
  <si>
    <t>@pansophh</t>
  </si>
  <si>
    <t>panina.sofia.2005@gmail.com</t>
  </si>
  <si>
    <t>Панов Павел Владиславович</t>
  </si>
  <si>
    <t>Панов Павел</t>
  </si>
  <si>
    <t>м. Преображенская площадь</t>
  </si>
  <si>
    <t>vk.com/mudamudamudamudamudamudamudamuda</t>
  </si>
  <si>
    <t>netherthree@gmail.com</t>
  </si>
  <si>
    <t>mazeinmind</t>
  </si>
  <si>
    <t>по номеру телефона</t>
  </si>
  <si>
    <t>ejednevnie_stradan1ya</t>
  </si>
  <si>
    <t>Пантелеев Владислав</t>
  </si>
  <si>
    <t>м.Крылатское</t>
  </si>
  <si>
    <t>РСО,Техники,</t>
  </si>
  <si>
    <t>https://vk.com/devalde</t>
  </si>
  <si>
    <t>Пантелеев Владислав Денисович</t>
  </si>
  <si>
    <t>vk.com/wiadson</t>
  </si>
  <si>
    <t>vlad.p.2610@gmail.com</t>
  </si>
  <si>
    <t>@wiadson</t>
  </si>
  <si>
    <t>viadislaf</t>
  </si>
  <si>
    <t>Пантюхин Лев Константинович</t>
  </si>
  <si>
    <t>ГЗ Б1346</t>
  </si>
  <si>
    <t>Техники, профорги</t>
  </si>
  <si>
    <t>vk.com/kndrvt</t>
  </si>
  <si>
    <t>mankxaakondrat@gmail.com</t>
  </si>
  <si>
    <t>kndrvt</t>
  </si>
  <si>
    <t>k0ndrvt</t>
  </si>
  <si>
    <t>Парфенов Иван</t>
  </si>
  <si>
    <t>Пеструилова Анастасия Николаевна</t>
  </si>
  <si>
    <t>Пеструилова Анастасия</t>
  </si>
  <si>
    <t>https://vk.com/satasko</t>
  </si>
  <si>
    <t>pingvinik1029@gmail.com</t>
  </si>
  <si>
    <t>@sats27</t>
  </si>
  <si>
    <t>@Satsk</t>
  </si>
  <si>
    <t>sats.ko</t>
  </si>
  <si>
    <t>Петрусова Екатерина Дмитриевна</t>
  </si>
  <si>
    <t>информирование (консультант), HR (консультант)</t>
  </si>
  <si>
    <t>vk.com/katerinka.dmitrievna</t>
  </si>
  <si>
    <t>katepetrusova2012@gmail.com</t>
  </si>
  <si>
    <t>aknir</t>
  </si>
  <si>
    <t>aknir99</t>
  </si>
  <si>
    <t>kate_aknir</t>
  </si>
  <si>
    <t>Пименов Никита Владимирович</t>
  </si>
  <si>
    <t>518/2</t>
  </si>
  <si>
    <t>ДС Б</t>
  </si>
  <si>
    <t>vk.com/nikitanvp</t>
  </si>
  <si>
    <t>nikitapimenov0702@gmail.com</t>
  </si>
  <si>
    <t>nikitapimenov</t>
  </si>
  <si>
    <t>Nikita_Pimenov</t>
  </si>
  <si>
    <t>n.v.p_07</t>
  </si>
  <si>
    <t>Пименова Ксения Олеговна</t>
  </si>
  <si>
    <t>ДСЛ МГУ</t>
  </si>
  <si>
    <t>https://vk.com/id672539403</t>
  </si>
  <si>
    <t>@pimksenia</t>
  </si>
  <si>
    <t>ksu35230@gmail.com</t>
  </si>
  <si>
    <t xml:space="preserve">Пионткевич Анастасия Георгиевна </t>
  </si>
  <si>
    <t>https://vk.com/npiontkevich</t>
  </si>
  <si>
    <t>t.me/nastya_pion</t>
  </si>
  <si>
    <t xml:space="preserve">nastyapion1990@gmail.com </t>
  </si>
  <si>
    <t>Плужникова Дарья Руслановна</t>
  </si>
  <si>
    <t>Плужникова Дарья</t>
  </si>
  <si>
    <t>м. Бунинская Аллея (Бутово) + ДСЛ А708</t>
  </si>
  <si>
    <t>Декораторы,Instagram,</t>
  </si>
  <si>
    <t>vk.com/pluzhnikovadari2000</t>
  </si>
  <si>
    <t>pluzhnikovadari@gmail.com</t>
  </si>
  <si>
    <t>user69819248</t>
  </si>
  <si>
    <t>@Dari_Pl</t>
  </si>
  <si>
    <t>pluzhnikovadari2000</t>
  </si>
  <si>
    <t>Поворознюк Александра Павловна</t>
  </si>
  <si>
    <t>Поворознюк Александра</t>
  </si>
  <si>
    <t>https://vk.com/the_p_ocean</t>
  </si>
  <si>
    <t>alexa.pvr2002@gmail.com</t>
  </si>
  <si>
    <t>@alexandra_palna</t>
  </si>
  <si>
    <t>sashapovoroznyuk</t>
  </si>
  <si>
    <t>Погосбекян Мария Михайловна</t>
  </si>
  <si>
    <t>Погосбекян Мария</t>
  </si>
  <si>
    <t>м. Южная</t>
  </si>
  <si>
    <t>vk.com/maria__mayy</t>
  </si>
  <si>
    <t>themashamay@gmail.com</t>
  </si>
  <si>
    <t>mariamay10</t>
  </si>
  <si>
    <t>mariamay</t>
  </si>
  <si>
    <t>maria__may</t>
  </si>
  <si>
    <t>PovoroznyukAP@my.msu.ru</t>
  </si>
  <si>
    <t>Поздняков Алексей Владимирович</t>
  </si>
  <si>
    <t>vk.com/nt_crckr</t>
  </si>
  <si>
    <t>leha.panda2000@gmail.com</t>
  </si>
  <si>
    <t>nut_cracker</t>
  </si>
  <si>
    <t>nt_crckr</t>
  </si>
  <si>
    <t>pogosbekyanmm@my.msu.ru</t>
  </si>
  <si>
    <t>Пойманов Дмитрий Романович</t>
  </si>
  <si>
    <t>vk.com/dimlimon4ik</t>
  </si>
  <si>
    <t>dima.poimanoww@gmail.com</t>
  </si>
  <si>
    <t>dmitrypoymanov</t>
  </si>
  <si>
    <t>Limonchellik</t>
  </si>
  <si>
    <t>mr.dimi3</t>
  </si>
  <si>
    <t>Понкратов Сергей</t>
  </si>
  <si>
    <t>Пономаренко Алексей Сергеевич</t>
  </si>
  <si>
    <t>Пономаренко Алексей</t>
  </si>
  <si>
    <t>+79222589495</t>
  </si>
  <si>
    <t>https://vk.com/shwartzniger</t>
  </si>
  <si>
    <t>alexeys.ponomarenko@gmail.com</t>
  </si>
  <si>
    <t>https://t.me/alexxponomarenko</t>
  </si>
  <si>
    <t>Попов Макар Сергеевич</t>
  </si>
  <si>
    <t>Попов Макар</t>
  </si>
  <si>
    <t>ГЗ Б635</t>
  </si>
  <si>
    <t>vk.com/popov_markoni</t>
  </si>
  <si>
    <t>makar.popov01@mail.ru</t>
  </si>
  <si>
    <t>@MarkMakroni</t>
  </si>
  <si>
    <t>karmakar_ma</t>
  </si>
  <si>
    <t>PonomarenkoAS@my.msu.ru</t>
  </si>
  <si>
    <t>Потапова Наталья Константиновна</t>
  </si>
  <si>
    <t>Потапова Наталья</t>
  </si>
  <si>
    <t>м. Таганская</t>
  </si>
  <si>
    <t>+79653174322</t>
  </si>
  <si>
    <t>https://vk.com/id717126166</t>
  </si>
  <si>
    <t>ntpkpotapova@gmail.com</t>
  </si>
  <si>
    <t>@ntpotapova</t>
  </si>
  <si>
    <t>ntpotapova</t>
  </si>
  <si>
    <t>PopovMS@my.msu.ru</t>
  </si>
  <si>
    <t>Проскурня Анна Максимовна</t>
  </si>
  <si>
    <t>Проскурня Анна</t>
  </si>
  <si>
    <t>+79853060977</t>
  </si>
  <si>
    <t>https://vk.com/id545055699</t>
  </si>
  <si>
    <t>anya.proskurnya@gmail.com</t>
  </si>
  <si>
    <t>@anyaproskurnya</t>
  </si>
  <si>
    <t>anya.proskurnya</t>
  </si>
  <si>
    <t>PotapovaNK@my.msu.ru</t>
  </si>
  <si>
    <t>Проскурня Юна Максимовна</t>
  </si>
  <si>
    <t>Проскурня Юна</t>
  </si>
  <si>
    <t>https://vk.com/id545055393</t>
  </si>
  <si>
    <t>yuna.proskurnya@gmail.com</t>
  </si>
  <si>
    <t>@yunaproskurnya</t>
  </si>
  <si>
    <t>Радаева Вера</t>
  </si>
  <si>
    <t>ГЗ Б727</t>
  </si>
  <si>
    <t>vk.com/id186718378</t>
  </si>
  <si>
    <t>pobratimlok@gmail.com</t>
  </si>
  <si>
    <t>user55851039</t>
  </si>
  <si>
    <t>@radaevaverochka</t>
  </si>
  <si>
    <t>radaevaverochka</t>
  </si>
  <si>
    <t>Разживина Дарья Ильинична</t>
  </si>
  <si>
    <t>Разживина Дарья</t>
  </si>
  <si>
    <t>ГЗ Б615</t>
  </si>
  <si>
    <t>Декораторы,Спонсоры,</t>
  </si>
  <si>
    <t>https://vk.com/estessna</t>
  </si>
  <si>
    <t>dasharazzhivina2000@gmail.com</t>
  </si>
  <si>
    <t>t.me/st_valentines_bot?start=281812477</t>
  </si>
  <si>
    <t>user60456998</t>
  </si>
  <si>
    <t>estessna</t>
  </si>
  <si>
    <t>Разумова Вера Дмитриевна</t>
  </si>
  <si>
    <t>ГЗ 507л</t>
  </si>
  <si>
    <t>Медиа, инста, экоблок</t>
  </si>
  <si>
    <t>vk.com/id34758762</t>
  </si>
  <si>
    <t>RazumovaVD@gmail.com</t>
  </si>
  <si>
    <t>vdraz</t>
  </si>
  <si>
    <t>VeraRaz</t>
  </si>
  <si>
    <t>occidereeeee</t>
  </si>
  <si>
    <t>RazzhivinaDI@my.msu.ru</t>
  </si>
  <si>
    <t>t.me/anonimvalentinbot?start=281812477</t>
  </si>
  <si>
    <t>Рамазанова Полина Мугудиновна</t>
  </si>
  <si>
    <t>Рамазанова Полина</t>
  </si>
  <si>
    <t>https://vk.com/id624920986</t>
  </si>
  <si>
    <t>Polina.ramazanova.1@gmail.com</t>
  </si>
  <si>
    <t>Резников Дмитрий Олегович</t>
  </si>
  <si>
    <t>Резников Дмитрий</t>
  </si>
  <si>
    <t>м. Ясенево</t>
  </si>
  <si>
    <t>Склад,Техники,HR</t>
  </si>
  <si>
    <t>https://vk.com/id173568941</t>
  </si>
  <si>
    <t>0630651@gmail.com</t>
  </si>
  <si>
    <t>FirstR_LastD</t>
  </si>
  <si>
    <t>redimon_nomider</t>
  </si>
  <si>
    <t>ReznikovDO@my.msu.ru</t>
  </si>
  <si>
    <t>RamazanovaPM@my.msu.ru</t>
  </si>
  <si>
    <t>Родина Дарья Олеговна</t>
  </si>
  <si>
    <t>Родина Дарья</t>
  </si>
  <si>
    <t>м.Новые Черемушки</t>
  </si>
  <si>
    <t>Досуг,РСО,</t>
  </si>
  <si>
    <t>https://vk.com/dr0dina</t>
  </si>
  <si>
    <t>dariagrhan@gmail.com</t>
  </si>
  <si>
    <t>@user27284901</t>
  </si>
  <si>
    <t>Darrog</t>
  </si>
  <si>
    <t>Романова Екатерина Максимовна</t>
  </si>
  <si>
    <t>vk.com/katya_m_romanova</t>
  </si>
  <si>
    <t>@katya_m_romanova</t>
  </si>
  <si>
    <t>katya.m.romanova@mail.ru</t>
  </si>
  <si>
    <t>Романовская Юлия Михайловна</t>
  </si>
  <si>
    <t>Романовская Юлия</t>
  </si>
  <si>
    <t>ГЗ 507п</t>
  </si>
  <si>
    <t>https://vk.com/fabuloudy</t>
  </si>
  <si>
    <t>romanovskaya.ym@gmail.com</t>
  </si>
  <si>
    <t>t.me/st_valentines_bot?start=282108153</t>
  </si>
  <si>
    <t>fabuloudy</t>
  </si>
  <si>
    <t>julwelier</t>
  </si>
  <si>
    <t>Рубцов Владислав Евгеньевич</t>
  </si>
  <si>
    <t>Закупки, Медиа</t>
  </si>
  <si>
    <t>vk.com/hit_that</t>
  </si>
  <si>
    <t>verubtsov@gmail.com</t>
  </si>
  <si>
    <t>hit_that</t>
  </si>
  <si>
    <t>RomanovskayaYM@my.msu.ru</t>
  </si>
  <si>
    <t>Рыбинскова Юлия Олеговна</t>
  </si>
  <si>
    <t>Рыбинскова Юлия</t>
  </si>
  <si>
    <t>ДСЛ Б713</t>
  </si>
  <si>
    <t>https://vk.com/id172657559</t>
  </si>
  <si>
    <t>s02210534@gse.cs.msu.ru</t>
  </si>
  <si>
    <t>jLiA_R</t>
  </si>
  <si>
    <t>Рябинин Михаил Андреевич</t>
  </si>
  <si>
    <t>Рябинин Михаил</t>
  </si>
  <si>
    <t>ГЗ 432л</t>
  </si>
  <si>
    <t>vk.com/id233806456</t>
  </si>
  <si>
    <t>arrowmisha2016@gmail.com</t>
  </si>
  <si>
    <t>user93110267</t>
  </si>
  <si>
    <t>MaiklRa</t>
  </si>
  <si>
    <t>Рязанова Евгения Борисовна</t>
  </si>
  <si>
    <t>Рязанова Евгения</t>
  </si>
  <si>
    <t>ГЗ Б515</t>
  </si>
  <si>
    <t>vk.com/kurbska_ya</t>
  </si>
  <si>
    <t>evgeniy9949@gmail.com</t>
  </si>
  <si>
    <t>kurbskaya</t>
  </si>
  <si>
    <t>Саблин Вячеслав Дмитриевич</t>
  </si>
  <si>
    <t>Саблин Вячеслав</t>
  </si>
  <si>
    <t>ДСЛ Б727</t>
  </si>
  <si>
    <t>Декораторы,Склад,</t>
  </si>
  <si>
    <t>+79653612586</t>
  </si>
  <si>
    <t>https://vk.com/slava020805</t>
  </si>
  <si>
    <t>sjava1902@gmail.com</t>
  </si>
  <si>
    <t>t.me/st_valentines_bot?start=718533120</t>
  </si>
  <si>
    <t>Самофалова Ульяна Владимировна</t>
  </si>
  <si>
    <t>м. Славянский бульвар</t>
  </si>
  <si>
    <t>Склад, декораторы, сценаристы</t>
  </si>
  <si>
    <t>vk.com/uliana_nesmeyana</t>
  </si>
  <si>
    <t>ulsamo@gmail.com</t>
  </si>
  <si>
    <t>user15789972</t>
  </si>
  <si>
    <t>uliana_nesmeyana</t>
  </si>
  <si>
    <t>SablinVD@my.msu.ru</t>
  </si>
  <si>
    <t>Саносян Генри Андраникович</t>
  </si>
  <si>
    <t>Саносян Генри</t>
  </si>
  <si>
    <t>ДСЛ А626</t>
  </si>
  <si>
    <t>Техники,IT,</t>
  </si>
  <si>
    <t>+79874792707</t>
  </si>
  <si>
    <t>https://vk.com/hunrey</t>
  </si>
  <si>
    <t>undergad@gmail.com</t>
  </si>
  <si>
    <t>@hhunrey</t>
  </si>
  <si>
    <t>@henrysanosyan</t>
  </si>
  <si>
    <t>Сахаутдинова Аделина Рифовна</t>
  </si>
  <si>
    <t>Сахаутдинова Аделина</t>
  </si>
  <si>
    <t>ГЗ Б616л</t>
  </si>
  <si>
    <t>HR,Зачет,</t>
  </si>
  <si>
    <t>vk.com/adelinchesss</t>
  </si>
  <si>
    <t>sakhautdinova21@gmail.com</t>
  </si>
  <si>
    <t>t.me/st_valentines_bot?start=500102667</t>
  </si>
  <si>
    <t>adelinchesss</t>
  </si>
  <si>
    <t>sanosyanga@my.msu.ru</t>
  </si>
  <si>
    <t>Светличная Кристина Артуровна (Перловка)</t>
  </si>
  <si>
    <t>Медиа, HR, досуг</t>
  </si>
  <si>
    <t>vk.com/perlovque</t>
  </si>
  <si>
    <t>menthamenthamentha@gmail.com</t>
  </si>
  <si>
    <t>cristine121</t>
  </si>
  <si>
    <t>rentich</t>
  </si>
  <si>
    <t>SakhautdinovaAR@my.msu.ru</t>
  </si>
  <si>
    <t>Семина Валерия Витальевна</t>
  </si>
  <si>
    <t>Семина Валерия</t>
  </si>
  <si>
    <t>https://vk.com/dofragle</t>
  </si>
  <si>
    <t>dofragle@gmail.com</t>
  </si>
  <si>
    <t>dofragle</t>
  </si>
  <si>
    <t>wall.error</t>
  </si>
  <si>
    <t>Сеник Алексей Михайлович</t>
  </si>
  <si>
    <t>vk.com/lesha_vodokachkin</t>
  </si>
  <si>
    <t>t.me/olegsiys</t>
  </si>
  <si>
    <t>a.senik29@gmail.com</t>
  </si>
  <si>
    <t>Синавчиан Никита Александрович</t>
  </si>
  <si>
    <t>Синавчиан Никита</t>
  </si>
  <si>
    <t>+79267867829</t>
  </si>
  <si>
    <t>https://vk.com/kruglm</t>
  </si>
  <si>
    <t>kruglmaster@gmail.com</t>
  </si>
  <si>
    <t>@kruglm28</t>
  </si>
  <si>
    <t>Скворцова Алина Юрьевна</t>
  </si>
  <si>
    <t>м.Братиславская</t>
  </si>
  <si>
    <t>IT(j)</t>
  </si>
  <si>
    <t>vk.com/skvoretsvskvorechnike</t>
  </si>
  <si>
    <t>alinaskvorcova200@gmail.com</t>
  </si>
  <si>
    <t>skvoretss</t>
  </si>
  <si>
    <t>_skvoretz_</t>
  </si>
  <si>
    <t>Скворцова Дарья Владимировна</t>
  </si>
  <si>
    <t>Скворцова Дарья</t>
  </si>
  <si>
    <t>Гз б1257</t>
  </si>
  <si>
    <t>https://m.vk.com/d.skvor</t>
  </si>
  <si>
    <t>dasha.28042000.s@gmail.com</t>
  </si>
  <si>
    <t>user35095649</t>
  </si>
  <si>
    <t>dashasunny</t>
  </si>
  <si>
    <t>skvortsova_daria__</t>
  </si>
  <si>
    <t>Скляров Андрей Михайлович</t>
  </si>
  <si>
    <t>Скляров Андрей</t>
  </si>
  <si>
    <t>https://vk.com/andrusik_s</t>
  </si>
  <si>
    <t>sklyarov147@gmail.com</t>
  </si>
  <si>
    <t>Скороходов Андрей</t>
  </si>
  <si>
    <t>ДСЛ Б616</t>
  </si>
  <si>
    <t>https://vk.com/l0nely9r0i9</t>
  </si>
  <si>
    <t>s02200480@gse.cs.msu.ru</t>
  </si>
  <si>
    <t>skorohodovas@my.msu.ru</t>
  </si>
  <si>
    <t>Смирнова Виктория Александровна</t>
  </si>
  <si>
    <t>Раменки</t>
  </si>
  <si>
    <t>https://vk.com/clare_ross_vrs</t>
  </si>
  <si>
    <t>t.me/ClaireMill</t>
  </si>
  <si>
    <t>smirnovavika181007@gmail.com</t>
  </si>
  <si>
    <t>Смольянинов Арсений Денисович</t>
  </si>
  <si>
    <t>Смольянинов Арсений</t>
  </si>
  <si>
    <t>https://vk.com/durak__on1ine</t>
  </si>
  <si>
    <t>arssmol1029@gmail.com</t>
  </si>
  <si>
    <t>Соколов Нестор Олегович</t>
  </si>
  <si>
    <t>м.Севастопольская</t>
  </si>
  <si>
    <t>https://vk.com/windylink</t>
  </si>
  <si>
    <t>nestorman.bakich@gmail.com</t>
  </si>
  <si>
    <t>LaNestorritto228</t>
  </si>
  <si>
    <t>nestoralphasok228</t>
  </si>
  <si>
    <t>Соколова Екатерина Витальевна</t>
  </si>
  <si>
    <t>Соколова Екатерина</t>
  </si>
  <si>
    <t>ГЗ Б1266л</t>
  </si>
  <si>
    <t>Медиа,Сценаристы,</t>
  </si>
  <si>
    <t>https://vk.com/ne_sokolenok</t>
  </si>
  <si>
    <t>sokolcati@gmail.com</t>
  </si>
  <si>
    <t>user10934410</t>
  </si>
  <si>
    <t>para_para_pam</t>
  </si>
  <si>
    <t>ne_sokolenok</t>
  </si>
  <si>
    <t>Соловьев Глеб Геннадьевич</t>
  </si>
  <si>
    <t>Перово</t>
  </si>
  <si>
    <t>Дизайн, декораторы</t>
  </si>
  <si>
    <t>vk.com/id132316994</t>
  </si>
  <si>
    <t>soloveynightingale@gmail.com</t>
  </si>
  <si>
    <t>gleb1ch</t>
  </si>
  <si>
    <t>Судаков Павел Юрьевич</t>
  </si>
  <si>
    <t>Судаков Павел</t>
  </si>
  <si>
    <t>м. Перово</t>
  </si>
  <si>
    <t>https://vk.com/morgnool_trapovich</t>
  </si>
  <si>
    <t>s02200489@gse.cs.msu.ru</t>
  </si>
  <si>
    <t>@MORGNOOL</t>
  </si>
  <si>
    <t>valar_morgnoolis</t>
  </si>
  <si>
    <t>Сулема Андрей Валерьевич</t>
  </si>
  <si>
    <t>Сулема Андрей</t>
  </si>
  <si>
    <t>ДСЛ Б536</t>
  </si>
  <si>
    <t>https://vk.com/timidpunk</t>
  </si>
  <si>
    <t>andreisulema@gmail.com</t>
  </si>
  <si>
    <t>@timidpunk</t>
  </si>
  <si>
    <t>andreisulema</t>
  </si>
  <si>
    <t>SudakovPY@my.msu.ru</t>
  </si>
  <si>
    <t>Суржанский Александр Сергеевич</t>
  </si>
  <si>
    <t>Суржанский Александр</t>
  </si>
  <si>
    <t>ДСЛ Б529</t>
  </si>
  <si>
    <t>МП,Telegram,</t>
  </si>
  <si>
    <t>+79189420032</t>
  </si>
  <si>
    <t>https://vk.com/alexandr.surzhanskiy</t>
  </si>
  <si>
    <t>alexandr.surzhanskiy@gmail.com</t>
  </si>
  <si>
    <t>@alexandrsurzhanskiy</t>
  </si>
  <si>
    <t>alexandr.surzhanskiy</t>
  </si>
  <si>
    <t>sulemaav@my.msu.ru</t>
  </si>
  <si>
    <t>Сухова Софья Николаевна</t>
  </si>
  <si>
    <t>общага</t>
  </si>
  <si>
    <t>https://sphsv</t>
  </si>
  <si>
    <t>@sphsv</t>
  </si>
  <si>
    <t>sonja.sukhova@gmail.com</t>
  </si>
  <si>
    <t>Суходоева Анна Евгеньевна</t>
  </si>
  <si>
    <t>Гз б1266</t>
  </si>
  <si>
    <t>https://vk.com/b_zzzzzz</t>
  </si>
  <si>
    <t>annbolshina@gmail.com</t>
  </si>
  <si>
    <t>anna90096901</t>
  </si>
  <si>
    <t>annsuhodoeva</t>
  </si>
  <si>
    <t>anna_suhodoeva</t>
  </si>
  <si>
    <t>surzhanskiyas@my.msu.ru</t>
  </si>
  <si>
    <t>Сушилин Сергей Дмитриевич</t>
  </si>
  <si>
    <t>Сушилин Сергей</t>
  </si>
  <si>
    <t>Сычев Петр Сергеевич</t>
  </si>
  <si>
    <t>Работа с организациями</t>
  </si>
  <si>
    <t>vk.com/sspetya</t>
  </si>
  <si>
    <t>coolsychev306@gmail.com</t>
  </si>
  <si>
    <t>@AstonHam</t>
  </si>
  <si>
    <t>aston.ish</t>
  </si>
  <si>
    <t>Тарасов Антон Андреевич</t>
  </si>
  <si>
    <t>метро Ясенево</t>
  </si>
  <si>
    <t>Медиа, Работа с организациями</t>
  </si>
  <si>
    <t>vk.com/antoinemagnifique</t>
  </si>
  <si>
    <t>31AntonT@gmail.com</t>
  </si>
  <si>
    <t>fatttony</t>
  </si>
  <si>
    <t>AntoineMagnifique</t>
  </si>
  <si>
    <t>fattt0ny</t>
  </si>
  <si>
    <t>Татаринов Иван Сергеевич</t>
  </si>
  <si>
    <t>133 итмед</t>
  </si>
  <si>
    <t xml:space="preserve">Нестабильно </t>
  </si>
  <si>
    <t>https://vk.com/vanyatatarinov</t>
  </si>
  <si>
    <t>@tatarinvvv</t>
  </si>
  <si>
    <t>s02250569@gse.cs.msu.ru</t>
  </si>
  <si>
    <t>Терещенкова Дарья Сергеевна</t>
  </si>
  <si>
    <t>Терещенкова Дарья</t>
  </si>
  <si>
    <t>https://vk.com/daria888t</t>
  </si>
  <si>
    <t>daria888t@gmail.com</t>
  </si>
  <si>
    <t>Теслюк Никита Сергеевич</t>
  </si>
  <si>
    <t>Теслюк Никита</t>
  </si>
  <si>
    <t>Спонсоры,Сценаристы,</t>
  </si>
  <si>
    <t>+79169991302</t>
  </si>
  <si>
    <t>https://vk.com/nikitatess</t>
  </si>
  <si>
    <t>tesluknikita15@gmail.com</t>
  </si>
  <si>
    <t>@nikiteslyuk</t>
  </si>
  <si>
    <t>Толстикова Варвара Сергеевна</t>
  </si>
  <si>
    <t>Мюнхен</t>
  </si>
  <si>
    <t>Матпомощь</t>
  </si>
  <si>
    <t>vk.com/barbara_tlst</t>
  </si>
  <si>
    <t>baterwlau@gmail.com</t>
  </si>
  <si>
    <t>user54172625</t>
  </si>
  <si>
    <t>barbara_tlst</t>
  </si>
  <si>
    <t>Тонишева Ольга Андреевна</t>
  </si>
  <si>
    <t>Тонишева Ольга</t>
  </si>
  <si>
    <t>+79102455008</t>
  </si>
  <si>
    <t>https://vk.com/otonisheva</t>
  </si>
  <si>
    <t>otonisheva@gmail.com</t>
  </si>
  <si>
    <t>Трифонов Ярослав Николаевич</t>
  </si>
  <si>
    <t>Трифонов Ярослав</t>
  </si>
  <si>
    <t>ДСЛ, 710Б</t>
  </si>
  <si>
    <t>https://vk.com/finitos_hq</t>
  </si>
  <si>
    <t>yar2003chess@gmail.com</t>
  </si>
  <si>
    <t>Трофимов Арсений Денисович</t>
  </si>
  <si>
    <t>ДСЛ Б740</t>
  </si>
  <si>
    <t>КП, спонсоры, техники</t>
  </si>
  <si>
    <t>vk.com/arseniytrofimov</t>
  </si>
  <si>
    <t>arseniytrofimov@gmail.com</t>
  </si>
  <si>
    <t>arseniytrofimov</t>
  </si>
  <si>
    <t>TrifonovYN@my.msu.ru</t>
  </si>
  <si>
    <t>Трунов Никита Сергеевич</t>
  </si>
  <si>
    <t>Трунов Никита</t>
  </si>
  <si>
    <t>Техники,Экоблок,</t>
  </si>
  <si>
    <t>https://vk.com/nick_name_77</t>
  </si>
  <si>
    <t>nekit1904@gmail.com</t>
  </si>
  <si>
    <t>brownbear7</t>
  </si>
  <si>
    <t>@Nick_name_19</t>
  </si>
  <si>
    <t>brownbear_19</t>
  </si>
  <si>
    <t>Тхор Святослав Вадимович</t>
  </si>
  <si>
    <t>Тхор Святослав</t>
  </si>
  <si>
    <t>+79855293039</t>
  </si>
  <si>
    <t>vk.com/svyathor</t>
  </si>
  <si>
    <t>Mindstormsev31313@gmail.com</t>
  </si>
  <si>
    <t>Уразов Станислав Олегович</t>
  </si>
  <si>
    <t>Уразов Станислав</t>
  </si>
  <si>
    <t>Спонсоры,Техники,</t>
  </si>
  <si>
    <t>vk.com/asmo_bard</t>
  </si>
  <si>
    <t>urazov.msu@gmail.com</t>
  </si>
  <si>
    <t>reiparion</t>
  </si>
  <si>
    <t>Espio_Santos</t>
  </si>
  <si>
    <t>reiparion_art</t>
  </si>
  <si>
    <t>Уханов Василий Денисович</t>
  </si>
  <si>
    <t>м. Бунинская Аллея</t>
  </si>
  <si>
    <t>vk.com/lovely_princess_27</t>
  </si>
  <si>
    <t>vasily@ukhanov.ru</t>
  </si>
  <si>
    <t>tr1j3Tz</t>
  </si>
  <si>
    <t>lovely_princess_27</t>
  </si>
  <si>
    <t>Фаддеева Софья Борисовна</t>
  </si>
  <si>
    <t>Декораторы (j), Закупки, афиши</t>
  </si>
  <si>
    <t>vk.com/sfaddeeva</t>
  </si>
  <si>
    <t>4.green.giraffes@gmail.com</t>
  </si>
  <si>
    <t>sfaddeeva</t>
  </si>
  <si>
    <t>toruvel</t>
  </si>
  <si>
    <t>Федоров Владислав Владимирович</t>
  </si>
  <si>
    <t>Федоров Владислав</t>
  </si>
  <si>
    <t>ГЗ Б733</t>
  </si>
  <si>
    <t>vk.com/bublox</t>
  </si>
  <si>
    <t>vlad.fiedorov.2001@gmail.com</t>
  </si>
  <si>
    <t>p34k1n</t>
  </si>
  <si>
    <t>FedorovVV@my.msu.ru</t>
  </si>
  <si>
    <t>Федосеев Максим Викторович</t>
  </si>
  <si>
    <t>м110</t>
  </si>
  <si>
    <t>Лесной городок</t>
  </si>
  <si>
    <t>Zachеt, IT(j)</t>
  </si>
  <si>
    <t>vk.com/max_fed</t>
  </si>
  <si>
    <t>maxim.fedoseev13@gmail.com</t>
  </si>
  <si>
    <t>max_fed</t>
  </si>
  <si>
    <t>monito18</t>
  </si>
  <si>
    <t>maxim.13</t>
  </si>
  <si>
    <t>Феоктистов Дмитрий Дмитриевич</t>
  </si>
  <si>
    <t>Феоктистов Дмитрий</t>
  </si>
  <si>
    <t>м. Братиславская</t>
  </si>
  <si>
    <t>Информирование,Сценаристы,</t>
  </si>
  <si>
    <t>+79268845640</t>
  </si>
  <si>
    <t>https://vk.com/trandelik</t>
  </si>
  <si>
    <t>feoktistov1580@gmail.com</t>
  </si>
  <si>
    <t>trandelik</t>
  </si>
  <si>
    <t>Хает Софья Ильинчна</t>
  </si>
  <si>
    <t>Хает Софья</t>
  </si>
  <si>
    <t>Sofkhaet@gmail.com</t>
  </si>
  <si>
    <t>Skhaet</t>
  </si>
  <si>
    <t>skhaet</t>
  </si>
  <si>
    <t>feoktistovdd@my.msu.ru</t>
  </si>
  <si>
    <t>Хитрова Ариана Сергеевна</t>
  </si>
  <si>
    <t>Хитрова Ариана</t>
  </si>
  <si>
    <t>https://vk.com/ariana.khitrova</t>
  </si>
  <si>
    <t>ariana10pk@gmail.com</t>
  </si>
  <si>
    <t>http://t.me/st_valentines_bot?start=466845042</t>
  </si>
  <si>
    <t>ariana_hitrova</t>
  </si>
  <si>
    <t>@ArianaKhit</t>
  </si>
  <si>
    <t>ariana.hit</t>
  </si>
  <si>
    <t>KhaetSI@my.msu.ru</t>
  </si>
  <si>
    <t>Хомич Дарья Максимовна</t>
  </si>
  <si>
    <t>Хомич Дарья</t>
  </si>
  <si>
    <t>ГЗ Б506</t>
  </si>
  <si>
    <t>vk.com/daryakhomich</t>
  </si>
  <si>
    <t>dashakhomich5@gmail.com</t>
  </si>
  <si>
    <t>t.me/st_valentines_bot?start=580389561</t>
  </si>
  <si>
    <t>d_khomich</t>
  </si>
  <si>
    <t>hitrovaas@my.msu.ru</t>
  </si>
  <si>
    <t>http://t.me/anonimvalentinbot?start=466845042</t>
  </si>
  <si>
    <t>Хомский Даниил Владимирович</t>
  </si>
  <si>
    <t>Хомский Даниил</t>
  </si>
  <si>
    <t>vk.com/id331011848</t>
  </si>
  <si>
    <t>homdanil123@gmail.com</t>
  </si>
  <si>
    <t>dan_7</t>
  </si>
  <si>
    <t>xdanya_9</t>
  </si>
  <si>
    <t>KhomichDM@my.msu.ru</t>
  </si>
  <si>
    <t>Хохлов Антон Михайлович</t>
  </si>
  <si>
    <t>Хохлов Антон</t>
  </si>
  <si>
    <t>https://vk.com/bariron</t>
  </si>
  <si>
    <t>khokhlovanton81@gmail.com</t>
  </si>
  <si>
    <t>@bariron</t>
  </si>
  <si>
    <t>Цветков Егор Анатольевич</t>
  </si>
  <si>
    <t>vk.com/tsvetkov_egor</t>
  </si>
  <si>
    <t>egor.tsvetkov98@gmail.com</t>
  </si>
  <si>
    <t>egor_tsvetkov</t>
  </si>
  <si>
    <t>just_nosyara</t>
  </si>
  <si>
    <t>Цыбина Ольга Алексеевна</t>
  </si>
  <si>
    <t>Цыбина Ольга</t>
  </si>
  <si>
    <t>Информирование,Техники,Telegram,</t>
  </si>
  <si>
    <t>vk.com/jedi314</t>
  </si>
  <si>
    <t>olga.tsybina82@gmail.com</t>
  </si>
  <si>
    <t>SadGril9</t>
  </si>
  <si>
    <t>dismaysie</t>
  </si>
  <si>
    <t>Чабан Олег Олегович</t>
  </si>
  <si>
    <t>Дизайн, профорги</t>
  </si>
  <si>
    <t>vk.com/ochochaban</t>
  </si>
  <si>
    <t>ogel.chaban@gmail.com</t>
  </si>
  <si>
    <t>olegchaban</t>
  </si>
  <si>
    <t>ochochaban</t>
  </si>
  <si>
    <t>tsybinaoa@my.msu.ru</t>
  </si>
  <si>
    <t>Чайчиц Даниил Александрович</t>
  </si>
  <si>
    <t>Чайчиц Даниил</t>
  </si>
  <si>
    <t>vk.com/just_dy</t>
  </si>
  <si>
    <t>chaychitsd@gmail.com</t>
  </si>
  <si>
    <t>daniil_c</t>
  </si>
  <si>
    <t>chaichitsdaniil</t>
  </si>
  <si>
    <t>just_dy_</t>
  </si>
  <si>
    <t>Чванкина Дарья Евгеньевна</t>
  </si>
  <si>
    <t>Чванкина Дарья</t>
  </si>
  <si>
    <t>м. Лухмановская</t>
  </si>
  <si>
    <t>Медиа,Склад,Техники,</t>
  </si>
  <si>
    <t>https://vk.com/dashylik_chvan</t>
  </si>
  <si>
    <t>Darychvankina@mail.ru</t>
  </si>
  <si>
    <t>dasha_chvankina</t>
  </si>
  <si>
    <t>s02190236@gse.cs.msu.ru</t>
  </si>
  <si>
    <t>ChaychicDA@my.msu.ru</t>
  </si>
  <si>
    <t>Чебанова Анастасия Максимовна</t>
  </si>
  <si>
    <t>Чебанова Анастасия</t>
  </si>
  <si>
    <t>vk.com/nastena.muller</t>
  </si>
  <si>
    <t>muller11111111111@gmail.com</t>
  </si>
  <si>
    <t>mu11er</t>
  </si>
  <si>
    <t>muller753</t>
  </si>
  <si>
    <t>muller11111111111</t>
  </si>
  <si>
    <t>ChebanovaAM@my.msu.ru</t>
  </si>
  <si>
    <t>Черемисенов Иван Сергеевич</t>
  </si>
  <si>
    <t>Черемисенов Иван</t>
  </si>
  <si>
    <t>М. Китай-город</t>
  </si>
  <si>
    <t>+79969763732</t>
  </si>
  <si>
    <t>https://vk.com/ioannco</t>
  </si>
  <si>
    <t>cheremisenov96@gmail.com</t>
  </si>
  <si>
    <t>user77219568</t>
  </si>
  <si>
    <t>ioannco</t>
  </si>
  <si>
    <t>Чернобай Анна Александровна</t>
  </si>
  <si>
    <t>Троицк, м.Ольховая</t>
  </si>
  <si>
    <t>Дизайн, склад(j)</t>
  </si>
  <si>
    <t>vk.com/ann_cherno</t>
  </si>
  <si>
    <t>tchernobai.anya@gmail.com</t>
  </si>
  <si>
    <t>anna_chernobai</t>
  </si>
  <si>
    <t>cheremisenovis@my.msu.ru</t>
  </si>
  <si>
    <t>Чесноковская Мария Владимировна</t>
  </si>
  <si>
    <t>Чесноковская Мария</t>
  </si>
  <si>
    <t>+79660975867</t>
  </si>
  <si>
    <t>http://vk.com/mashamakaroshka</t>
  </si>
  <si>
    <t>Mashamakaroshkaaa@gmail.com</t>
  </si>
  <si>
    <t>Чехонина Екатерина Андреевна</t>
  </si>
  <si>
    <t>Чехонина Екатерина</t>
  </si>
  <si>
    <t>ГЗ Б-514-л</t>
  </si>
  <si>
    <t>Информирование,Сценаристы,Экоблок,</t>
  </si>
  <si>
    <t>vk.com/beei_mm</t>
  </si>
  <si>
    <t>katerinasheps@gmail.com</t>
  </si>
  <si>
    <t>t.me/st_valentines_bot?start=725438903</t>
  </si>
  <si>
    <t>catherine_fish</t>
  </si>
  <si>
    <t>Catherine_Fish</t>
  </si>
  <si>
    <t>__catherine_fish__</t>
  </si>
  <si>
    <t>Чиклина Маргарита Андреевна</t>
  </si>
  <si>
    <t>Чиклина Маргарита</t>
  </si>
  <si>
    <t>http://vk.com/mayrgo</t>
  </si>
  <si>
    <t>mayrgo.p@gmail.com</t>
  </si>
  <si>
    <t>@mayrgo</t>
  </si>
  <si>
    <t>@mayrgoch</t>
  </si>
  <si>
    <t>ChekhoninaEA@my.msu.ru</t>
  </si>
  <si>
    <t>Чимбулатов Егор Феликсович</t>
  </si>
  <si>
    <t>Чимбулатов Егор</t>
  </si>
  <si>
    <t>vk.com/toonfag</t>
  </si>
  <si>
    <t>ethernityman@gmail.com</t>
  </si>
  <si>
    <t>t.me/st_valentines_bot?start=144454876</t>
  </si>
  <si>
    <t>m0rjique</t>
  </si>
  <si>
    <t>m0rjique_original</t>
  </si>
  <si>
    <t>egor.chimbulatov@yandex.ru</t>
  </si>
  <si>
    <t>t.me/anonimvalentinbot?start=452913316</t>
  </si>
  <si>
    <t>Чувашов Егор Юрьевич</t>
  </si>
  <si>
    <t>Чувашов Егор</t>
  </si>
  <si>
    <t>+79131129045</t>
  </si>
  <si>
    <t>https://vk.com/wwnlnegor</t>
  </si>
  <si>
    <t>s02200521@gse.cs.msu.ru</t>
  </si>
  <si>
    <t>t.me/st_valentines_bot?start=388463397</t>
  </si>
  <si>
    <t>wowonline</t>
  </si>
  <si>
    <t>wwnlnegor</t>
  </si>
  <si>
    <t xml:space="preserve">ChiklinaMA@my.msu.ru </t>
  </si>
  <si>
    <t>Чумакова Александра Алексеевна</t>
  </si>
  <si>
    <t>Чумакова Александра</t>
  </si>
  <si>
    <t>vk.com/sasha.chuma</t>
  </si>
  <si>
    <t>schumakova372@gmail.com</t>
  </si>
  <si>
    <t>alexandrachumakova</t>
  </si>
  <si>
    <t>sashachuma</t>
  </si>
  <si>
    <t>sasha.chuma</t>
  </si>
  <si>
    <t>chuvashovey@my.msu.ru</t>
  </si>
  <si>
    <t>Чурилов Даниил Игоревич</t>
  </si>
  <si>
    <t>Чурилов Даниил</t>
  </si>
  <si>
    <t>ДСЛ А-607</t>
  </si>
  <si>
    <t>https://vk.com/jirbim</t>
  </si>
  <si>
    <t>st02220083@gse.cs.msu.ru</t>
  </si>
  <si>
    <t>@Volyruch</t>
  </si>
  <si>
    <t>ChumakovaAA@my.msu.ru</t>
  </si>
  <si>
    <t>Шагов Виталий Сергеевич</t>
  </si>
  <si>
    <t>ДСЛ А704</t>
  </si>
  <si>
    <t>vk.com/ezhopets</t>
  </si>
  <si>
    <t>ezhopets@gmail.com</t>
  </si>
  <si>
    <t>ezhopets</t>
  </si>
  <si>
    <t>Шамина Арина Алексеевна</t>
  </si>
  <si>
    <t>Шамина Арина</t>
  </si>
  <si>
    <t>ДСЛ Б629</t>
  </si>
  <si>
    <t>https://vk.com/arina_shamina</t>
  </si>
  <si>
    <t>Ariana.shamina1@gmail.com</t>
  </si>
  <si>
    <t>t.me/st_valentines_bot?start=800476796</t>
  </si>
  <si>
    <t>arina_shamina</t>
  </si>
  <si>
    <t>ArinaShamina</t>
  </si>
  <si>
    <t>cute_ariadna</t>
  </si>
  <si>
    <t>Шамшиев Алексей Мамбетович</t>
  </si>
  <si>
    <t>Шамшиев Алексей</t>
  </si>
  <si>
    <t>м. Филатов луг</t>
  </si>
  <si>
    <t>+79850732341</t>
  </si>
  <si>
    <t>https://vk.com/aleshamsh</t>
  </si>
  <si>
    <t>hlebnuimyakish@gmail.com</t>
  </si>
  <si>
    <t>Smilecooker</t>
  </si>
  <si>
    <t>mindextender</t>
  </si>
  <si>
    <t>ShaminaAA@my.msu.ru</t>
  </si>
  <si>
    <t>Шанаурина Юлия Игоревна</t>
  </si>
  <si>
    <t>Шанаурина Юлия</t>
  </si>
  <si>
    <t>+79810463547</t>
  </si>
  <si>
    <t>https://vk.com/julyashan17</t>
  </si>
  <si>
    <t>shanaurinajulia@gmail.com</t>
  </si>
  <si>
    <t>shamshievam@my.msu.ru</t>
  </si>
  <si>
    <t>Шаршавин Александр Дмитриевич</t>
  </si>
  <si>
    <t>Шаршавин Александр</t>
  </si>
  <si>
    <t>https://vk.com/a.sharshavin</t>
  </si>
  <si>
    <t>20okok00@gmail.com</t>
  </si>
  <si>
    <t>alexandr44936271</t>
  </si>
  <si>
    <t>sharshavin</t>
  </si>
  <si>
    <t>a_sharshavin</t>
  </si>
  <si>
    <t>Шевченко Вячеслав Иванович</t>
  </si>
  <si>
    <t>Шевченко Вячеслав</t>
  </si>
  <si>
    <t>ГЗ Б1132</t>
  </si>
  <si>
    <t>+79298164778</t>
  </si>
  <si>
    <t>https://vk.com/sheva_top</t>
  </si>
  <si>
    <t>slavikgolos@gmail.com</t>
  </si>
  <si>
    <t>@vdenezhnev</t>
  </si>
  <si>
    <t>vyacheslav_golovnev</t>
  </si>
  <si>
    <t>sharshavinad@my.msu.ru</t>
  </si>
  <si>
    <t>Шелепнева Дарья Дмитриевна</t>
  </si>
  <si>
    <t>Шелепнева Дарья</t>
  </si>
  <si>
    <t>vk.com/ddshel</t>
  </si>
  <si>
    <t>dasha.shelepneva@gmail.com</t>
  </si>
  <si>
    <t>daryashel</t>
  </si>
  <si>
    <t>ddshel</t>
  </si>
  <si>
    <t>shelepnevadd@my.msu.ru</t>
  </si>
  <si>
    <t>ShevchenkoVI@my.msu.ru</t>
  </si>
  <si>
    <t>Шеститко Александр Витальевич</t>
  </si>
  <si>
    <t>Шеститко Александр</t>
  </si>
  <si>
    <t>Дсл А613</t>
  </si>
  <si>
    <t>https://vk.com/lw2003</t>
  </si>
  <si>
    <t>aleksandrsestitko640@gmail.com</t>
  </si>
  <si>
    <t>Шешуков Алексей Дмитриевич</t>
  </si>
  <si>
    <t>Кунцево, м. Молодежная</t>
  </si>
  <si>
    <t>КП, IT(j), профорги</t>
  </si>
  <si>
    <t>vk.com/alexeyshesh</t>
  </si>
  <si>
    <t>alshesh2000@gmail.com</t>
  </si>
  <si>
    <t>alexeyshesh</t>
  </si>
  <si>
    <t>ShestitkoAV@my.msu.ru</t>
  </si>
  <si>
    <t>Шмитова Валерия Андреевна</t>
  </si>
  <si>
    <t>Шмитова Валерия</t>
  </si>
  <si>
    <t>ГЗ Б514п / м. Филатов Луг</t>
  </si>
  <si>
    <t>https://vk.com/lerochkasmith</t>
  </si>
  <si>
    <t>tarasova.valeria.2000@gmail.com</t>
  </si>
  <si>
    <t>t.me/st_valentines_bot?start=948667655</t>
  </si>
  <si>
    <t>valeria_trs</t>
  </si>
  <si>
    <t>valeria_smith</t>
  </si>
  <si>
    <t>valeria___smith</t>
  </si>
  <si>
    <t>Шустова Екатерина Дмитриевна</t>
  </si>
  <si>
    <t>Шустова Екатерина</t>
  </si>
  <si>
    <t>https://vk.com/kate.shustova</t>
  </si>
  <si>
    <t>rit1122014@gmail.com</t>
  </si>
  <si>
    <t>Sh_Kathrine</t>
  </si>
  <si>
    <t>ShmitovaVA@my.msu.ru</t>
  </si>
  <si>
    <t>t.me/anonimvalentinbot?start=948667655</t>
  </si>
  <si>
    <t>Щутский Владислав Семенович</t>
  </si>
  <si>
    <t>Щутский Владислав</t>
  </si>
  <si>
    <t>+79283621440</t>
  </si>
  <si>
    <t>vk.com/will_cg</t>
  </si>
  <si>
    <t>lcmu026@gmail.com</t>
  </si>
  <si>
    <t>Элишаков Даниил Георгиевич</t>
  </si>
  <si>
    <t>Элишаков Даниил</t>
  </si>
  <si>
    <t>м. Минская</t>
  </si>
  <si>
    <t>@longword_onfire</t>
  </si>
  <si>
    <t>s02190256@gse.cs.msu.ru</t>
  </si>
  <si>
    <t>@dinospamony</t>
  </si>
  <si>
    <t>_d_elish_</t>
  </si>
  <si>
    <t>Юдова Екатерина Алексеевна</t>
  </si>
  <si>
    <t>Юдова Екатерина</t>
  </si>
  <si>
    <t>ГЗ Б615 прав / м. Авиамоторная - текущее место</t>
  </si>
  <si>
    <t>vk.com/katyaky</t>
  </si>
  <si>
    <t>yudova.kate.ky@gmail.com</t>
  </si>
  <si>
    <t>kateyudova</t>
  </si>
  <si>
    <t>KateYudova</t>
  </si>
  <si>
    <t>ElishakovDG@my.msu.ru</t>
  </si>
  <si>
    <t>Ядерцов Денис Александрович</t>
  </si>
  <si>
    <t>Ядерцов Денис</t>
  </si>
  <si>
    <t>ГЗ 631 пр</t>
  </si>
  <si>
    <t>МП,Склад,</t>
  </si>
  <si>
    <t>https://vk.com/jesteroftoxics</t>
  </si>
  <si>
    <t>iseleh09@gmail.com</t>
  </si>
  <si>
    <t>YudovaEA@my.msu.ru</t>
  </si>
  <si>
    <t>vk.com/id118476181</t>
  </si>
  <si>
    <t>Бочковенкова Диана</t>
  </si>
  <si>
    <t>Досуг,IT,</t>
  </si>
  <si>
    <t>geometria1love@gmail.com</t>
  </si>
  <si>
    <t>dbchkv</t>
  </si>
  <si>
    <t>hotpie228</t>
  </si>
  <si>
    <t>dianymoree</t>
  </si>
  <si>
    <t>YadercovDA@my.msu.ru</t>
  </si>
  <si>
    <t>Мороз Виктор Владимирович</t>
  </si>
  <si>
    <t>Ленинский проспект</t>
  </si>
  <si>
    <t>vk.com/tiktoras</t>
  </si>
  <si>
    <t>t.me/dr_friedkin78</t>
  </si>
  <si>
    <t>m.v.korneplod@gmail.com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</si>
</sst>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7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  <scheme val="minor"/>
    </font>
    <font>
      <u/>
      <color rgb="FF000000"/>
      <name val="Roboto"/>
    </font>
    <font>
      <u/>
      <color rgb="FF000000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37.0"/>
      <color theme="1"/>
      <name val="Arial"/>
      <scheme val="minor"/>
    </font>
    <font/>
    <font>
      <sz val="12.0"/>
      <color theme="1"/>
      <name val="Arial"/>
    </font>
    <font>
      <b/>
      <sz val="37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434343"/>
      <name val="Roboto"/>
    </font>
    <font>
      <u/>
      <color rgb="FF1155CC"/>
      <name val="Arial"/>
    </font>
    <font>
      <color rgb="FF262626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-apple-system"/>
    </font>
    <font>
      <b/>
      <color rgb="FF000000"/>
      <name val="Roboto"/>
    </font>
    <font>
      <u/>
      <color rgb="FF1155CC"/>
      <name val="Arial"/>
    </font>
    <font>
      <b/>
      <color rgb="FF000000"/>
      <name val="Arial"/>
    </font>
    <font>
      <u/>
      <color rgb="FF2A5885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-apple-system"/>
    </font>
    <font>
      <sz val="11.0"/>
      <color rgb="FF1F1F1F"/>
      <name val="Google Sans"/>
    </font>
    <font>
      <u/>
      <color rgb="FF000000"/>
      <name val="Arial"/>
    </font>
    <font>
      <color rgb="FF1A254E"/>
      <name val="Roboto"/>
    </font>
    <font>
      <u/>
      <color rgb="FF434343"/>
      <name val="Roboto"/>
    </font>
    <font>
      <b/>
      <color rgb="FF000000"/>
      <name val="-apple-system"/>
    </font>
    <font>
      <color rgb="FF2A5885"/>
      <name val="Arial"/>
    </font>
    <font>
      <u/>
      <color rgb="FF1155CC"/>
      <name val="Arial"/>
    </font>
    <font>
      <u/>
      <color rgb="FF2A5885"/>
      <name val="-apple-system"/>
    </font>
    <font>
      <u/>
      <color rgb="FF1155CC"/>
      <name val="-apple-system"/>
    </font>
    <font>
      <u/>
      <color rgb="FF1155CC"/>
      <name val="Arial"/>
    </font>
    <font>
      <u/>
      <color rgb="FF2A5885"/>
      <name val="Arial"/>
    </font>
    <font>
      <color rgb="FF000000"/>
      <name val="YS Text"/>
    </font>
    <font>
      <u/>
      <color rgb="FF1155CC"/>
      <name val="Arial"/>
    </font>
    <font>
      <u/>
      <color rgb="FF1155CC"/>
      <name val="Arial"/>
    </font>
    <font>
      <u/>
      <color rgb="FF434343"/>
      <name val="Roboto"/>
    </font>
    <font>
      <u/>
      <color rgb="FF1155CC"/>
      <name val="Arial"/>
    </font>
    <font>
      <u/>
      <color rgb="FF1155CC"/>
      <name val="Arial"/>
    </font>
    <font>
      <u/>
      <color rgb="FF2A5885"/>
      <name val="-apple-system"/>
    </font>
    <font>
      <u/>
      <color rgb="FF1155CC"/>
      <name val="Arial"/>
    </font>
    <font>
      <u/>
      <color rgb="FF2A5885"/>
      <name val="Arial"/>
    </font>
    <font>
      <u/>
      <color rgb="FF2A5885"/>
      <name val="Arial"/>
    </font>
    <font>
      <u/>
      <color rgb="FF2A5885"/>
      <name val="Arial"/>
    </font>
    <font>
      <u/>
      <color rgb="FF2A5885"/>
      <name val="-apple-system"/>
    </font>
    <font>
      <u/>
      <color rgb="FF1155CC"/>
      <name val="-apple-system"/>
    </font>
    <font>
      <u/>
      <color rgb="FF1155CC"/>
      <name val="Arial"/>
    </font>
    <font>
      <u/>
      <color rgb="FF1155CC"/>
      <name val="Arial"/>
    </font>
    <font>
      <u/>
      <color rgb="FF434343"/>
      <name val="Roboto"/>
    </font>
    <font>
      <u/>
      <color rgb="FF2A5885"/>
      <name val="-apple-system"/>
    </font>
    <font>
      <u/>
      <color rgb="FF1155CC"/>
      <name val="Arial"/>
    </font>
    <font>
      <color rgb="FF666666"/>
      <name val="Roboto"/>
    </font>
    <font>
      <color rgb="FF2A5885"/>
      <name val="-apple-system"/>
    </font>
    <font>
      <u/>
      <color rgb="FF000000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2A5885"/>
      <name val="Arial"/>
    </font>
    <font>
      <sz val="9.0"/>
      <color rgb="FF444746"/>
      <name val="Google Sans"/>
    </font>
    <font>
      <u/>
      <color rgb="FF2A5885"/>
      <name val="-apple-system"/>
    </font>
    <font>
      <b/>
      <color rgb="FF000000"/>
      <name val="YS Text"/>
    </font>
    <font>
      <sz val="9.0"/>
      <color rgb="FF000000"/>
      <name val="Arial"/>
    </font>
    <font>
      <u/>
      <sz val="11.0"/>
      <color rgb="FF005BD1"/>
      <name val="Helvetica Neue"/>
    </font>
    <font>
      <u/>
      <color rgb="FF1155CC"/>
      <name val="Arial"/>
    </font>
    <font>
      <u/>
      <color rgb="FF2A5885"/>
      <name val="Arial"/>
    </font>
    <font>
      <u/>
      <color rgb="FF000000"/>
      <name val="-apple-system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b/>
      <u/>
      <color rgb="FF1155C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9EEF6"/>
        <bgColor rgb="FFE9EEF6"/>
      </patternFill>
    </fill>
    <fill>
      <patternFill patternType="solid">
        <fgColor rgb="FFFF0000"/>
        <bgColor rgb="FFFF0000"/>
      </patternFill>
    </fill>
  </fills>
  <borders count="3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442F65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top style="thin">
        <color rgb="FFF8F9FA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shrinkToFit="0" wrapText="0"/>
    </xf>
    <xf borderId="0" fillId="3" fontId="2" numFmtId="0" xfId="0" applyAlignment="1" applyFont="1">
      <alignment horizontal="right" shrinkToFit="0" wrapText="0"/>
    </xf>
    <xf borderId="0" fillId="3" fontId="2" numFmtId="0" xfId="0" applyAlignment="1" applyFont="1">
      <alignment horizontal="center" readingOrder="0" shrinkToFit="0" wrapText="0"/>
    </xf>
    <xf borderId="0" fillId="3" fontId="3" numFmtId="0" xfId="0" applyAlignment="1" applyFont="1">
      <alignment shrinkToFit="0" wrapText="0"/>
    </xf>
    <xf borderId="0" fillId="4" fontId="2" numFmtId="0" xfId="0" applyAlignment="1" applyFill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2" numFmtId="0" xfId="0" applyAlignment="1" applyFont="1">
      <alignment horizontal="center" shrinkToFit="0" wrapText="0"/>
    </xf>
    <xf borderId="0" fillId="4" fontId="2" numFmtId="0" xfId="0" applyAlignment="1" applyFont="1">
      <alignment horizontal="right" shrinkToFit="0" wrapText="0"/>
    </xf>
    <xf borderId="0" fillId="4" fontId="2" numFmtId="0" xfId="0" applyAlignment="1" applyFont="1">
      <alignment shrinkToFit="0" wrapText="0"/>
    </xf>
    <xf borderId="0" fillId="4" fontId="2" numFmtId="0" xfId="0" applyAlignment="1" applyFont="1">
      <alignment horizontal="center" shrinkToFit="0" wrapText="0"/>
    </xf>
    <xf borderId="0" fillId="4" fontId="4" numFmtId="0" xfId="0" applyAlignment="1" applyFont="1">
      <alignment shrinkToFit="0" wrapText="0"/>
    </xf>
    <xf borderId="0" fillId="3" fontId="5" numFmtId="0" xfId="0" applyAlignment="1" applyFont="1">
      <alignment readingOrder="0" shrinkToFit="0" wrapText="0"/>
    </xf>
    <xf borderId="0" fillId="4" fontId="2" numFmtId="0" xfId="0" applyAlignment="1" applyFont="1">
      <alignment horizontal="center" readingOrder="0" shrinkToFit="0" wrapText="0"/>
    </xf>
    <xf borderId="0" fillId="4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3" fontId="8" numFmtId="0" xfId="0" applyAlignment="1" applyFont="1">
      <alignment readingOrder="0" shrinkToFit="0" wrapText="0"/>
    </xf>
    <xf borderId="0" fillId="0" fontId="9" numFmtId="0" xfId="0" applyAlignment="1" applyFont="1">
      <alignment readingOrder="0"/>
    </xf>
    <xf borderId="0" fillId="3" fontId="2" numFmtId="0" xfId="0" applyAlignment="1" applyFont="1">
      <alignment horizontal="right" readingOrder="0" shrinkToFit="0" wrapText="0"/>
    </xf>
    <xf borderId="0" fillId="3" fontId="10" numFmtId="0" xfId="0" applyAlignment="1" applyFont="1">
      <alignment readingOrder="0" shrinkToFit="0" wrapText="0"/>
    </xf>
    <xf borderId="1" fillId="4" fontId="2" numFmtId="0" xfId="0" applyAlignment="1" applyBorder="1" applyFont="1">
      <alignment horizontal="right" shrinkToFit="0" wrapText="0"/>
    </xf>
    <xf borderId="1" fillId="4" fontId="2" numFmtId="0" xfId="0" applyAlignment="1" applyBorder="1" applyFont="1">
      <alignment shrinkToFit="0" wrapText="0"/>
    </xf>
    <xf borderId="1" fillId="4" fontId="11" numFmtId="0" xfId="0" applyAlignment="1" applyBorder="1" applyFont="1">
      <alignment shrinkToFit="0" wrapText="0"/>
    </xf>
    <xf borderId="2" fillId="4" fontId="2" numFmtId="0" xfId="0" applyAlignment="1" applyBorder="1" applyFont="1">
      <alignment readingOrder="0" shrinkToFit="0" wrapText="0"/>
    </xf>
    <xf borderId="3" fillId="4" fontId="2" numFmtId="0" xfId="0" applyAlignment="1" applyBorder="1" applyFont="1">
      <alignment horizontal="right" shrinkToFit="0" wrapText="0"/>
    </xf>
    <xf borderId="3" fillId="4" fontId="2" numFmtId="0" xfId="0" applyAlignment="1" applyBorder="1" applyFont="1">
      <alignment shrinkToFit="0" wrapText="0"/>
    </xf>
    <xf borderId="3" fillId="4" fontId="2" numFmtId="0" xfId="0" applyAlignment="1" applyBorder="1" applyFont="1">
      <alignment horizontal="center" readingOrder="0" shrinkToFit="0" wrapText="0"/>
    </xf>
    <xf borderId="3" fillId="4" fontId="12" numFmtId="0" xfId="0" applyAlignment="1" applyBorder="1" applyFont="1">
      <alignment shrinkToFit="0" wrapText="0"/>
    </xf>
    <xf borderId="4" fillId="4" fontId="2" numFmtId="0" xfId="0" applyAlignment="1" applyBorder="1" applyFont="1">
      <alignment readingOrder="0" shrinkToFit="0" wrapText="0"/>
    </xf>
    <xf borderId="3" fillId="3" fontId="2" numFmtId="0" xfId="0" applyAlignment="1" applyBorder="1" applyFont="1">
      <alignment shrinkToFit="0" wrapText="0"/>
    </xf>
    <xf borderId="3" fillId="3" fontId="2" numFmtId="0" xfId="0" applyAlignment="1" applyBorder="1" applyFont="1">
      <alignment horizontal="right" shrinkToFit="0" wrapText="0"/>
    </xf>
    <xf borderId="3" fillId="3" fontId="2" numFmtId="0" xfId="0" applyAlignment="1" applyBorder="1" applyFont="1">
      <alignment horizontal="center" shrinkToFit="0" wrapText="0"/>
    </xf>
    <xf borderId="3" fillId="3" fontId="13" numFmtId="0" xfId="0" applyAlignment="1" applyBorder="1" applyFont="1">
      <alignment shrinkToFit="0" wrapText="0"/>
    </xf>
    <xf borderId="4" fillId="3" fontId="2" numFmtId="0" xfId="0" applyAlignment="1" applyBorder="1" applyFont="1">
      <alignment readingOrder="0" shrinkToFit="0" wrapText="0"/>
    </xf>
    <xf borderId="5" fillId="3" fontId="2" numFmtId="0" xfId="0" applyAlignment="1" applyBorder="1" applyFont="1">
      <alignment shrinkToFit="0" wrapText="0"/>
    </xf>
    <xf borderId="5" fillId="3" fontId="2" numFmtId="0" xfId="0" applyAlignment="1" applyBorder="1" applyFont="1">
      <alignment horizontal="right" shrinkToFit="0" wrapText="0"/>
    </xf>
    <xf borderId="5" fillId="3" fontId="2" numFmtId="0" xfId="0" applyAlignment="1" applyBorder="1" applyFont="1">
      <alignment horizontal="center" shrinkToFit="0" wrapText="0"/>
    </xf>
    <xf borderId="5" fillId="3" fontId="14" numFmtId="0" xfId="0" applyAlignment="1" applyBorder="1" applyFont="1">
      <alignment shrinkToFit="0" wrapText="0"/>
    </xf>
    <xf borderId="6" fillId="3" fontId="2" numFmtId="0" xfId="0" applyAlignment="1" applyBorder="1" applyFont="1">
      <alignment readingOrder="0" shrinkToFit="0" wrapText="0"/>
    </xf>
    <xf borderId="7" fillId="4" fontId="2" numFmtId="0" xfId="0" applyAlignment="1" applyBorder="1" applyFont="1">
      <alignment shrinkToFit="0" wrapText="0"/>
    </xf>
    <xf borderId="8" fillId="4" fontId="2" numFmtId="0" xfId="0" applyAlignment="1" applyBorder="1" applyFont="1">
      <alignment shrinkToFit="0" wrapText="0"/>
    </xf>
    <xf borderId="9" fillId="4" fontId="15" numFmtId="0" xfId="0" applyAlignment="1" applyBorder="1" applyFont="1">
      <alignment shrinkToFit="0" wrapText="0"/>
    </xf>
    <xf borderId="10" fillId="4" fontId="2" numFmtId="0" xfId="0" applyAlignment="1" applyBorder="1" applyFont="1">
      <alignment shrinkToFit="0" wrapText="0"/>
    </xf>
    <xf borderId="1" fillId="3" fontId="2" numFmtId="0" xfId="0" applyAlignment="1" applyBorder="1" applyFont="1">
      <alignment shrinkToFit="0" wrapText="0"/>
    </xf>
    <xf borderId="7" fillId="3" fontId="16" numFmtId="0" xfId="0" applyAlignment="1" applyBorder="1" applyFont="1">
      <alignment shrinkToFit="0" wrapText="0"/>
    </xf>
    <xf borderId="8" fillId="3" fontId="2" numFmtId="0" xfId="0" applyAlignment="1" applyBorder="1" applyFont="1">
      <alignment shrinkToFit="0" wrapText="0"/>
    </xf>
    <xf borderId="3" fillId="4" fontId="2" numFmtId="0" xfId="0" applyAlignment="1" applyBorder="1" applyFont="1">
      <alignment readingOrder="0" shrinkToFit="0" wrapText="0"/>
    </xf>
    <xf borderId="9" fillId="4" fontId="2" numFmtId="0" xfId="0" applyAlignment="1" applyBorder="1" applyFont="1">
      <alignment shrinkToFit="0" wrapText="0"/>
    </xf>
    <xf borderId="1" fillId="3" fontId="17" numFmtId="0" xfId="0" applyAlignment="1" applyBorder="1" applyFont="1">
      <alignment shrinkToFit="0" wrapText="0"/>
    </xf>
    <xf borderId="9" fillId="3" fontId="18" numFmtId="0" xfId="0" applyAlignment="1" applyBorder="1" applyFont="1">
      <alignment shrinkToFit="0" wrapText="0"/>
    </xf>
    <xf borderId="10" fillId="3" fontId="2" numFmtId="0" xfId="0" applyAlignment="1" applyBorder="1" applyFont="1">
      <alignment shrinkToFit="0" wrapText="0"/>
    </xf>
    <xf borderId="7" fillId="4" fontId="19" numFmtId="0" xfId="0" applyAlignment="1" applyBorder="1" applyFont="1">
      <alignment shrinkToFit="0" wrapText="0"/>
    </xf>
    <xf borderId="9" fillId="3" fontId="2" numFmtId="0" xfId="0" applyAlignment="1" applyBorder="1" applyFont="1">
      <alignment shrinkToFit="0" wrapText="0"/>
    </xf>
    <xf borderId="10" fillId="3" fontId="2" numFmtId="0" xfId="0" applyAlignment="1" applyBorder="1" applyFont="1">
      <alignment readingOrder="0" shrinkToFit="0" wrapText="0"/>
    </xf>
    <xf borderId="3" fillId="0" fontId="7" numFmtId="0" xfId="0" applyAlignment="1" applyBorder="1" applyFont="1">
      <alignment readingOrder="0"/>
    </xf>
    <xf borderId="7" fillId="3" fontId="2" numFmtId="0" xfId="0" applyAlignment="1" applyBorder="1" applyFont="1">
      <alignment shrinkToFit="0" wrapText="0"/>
    </xf>
    <xf borderId="1" fillId="3" fontId="2" numFmtId="0" xfId="0" applyAlignment="1" applyBorder="1" applyFont="1">
      <alignment readingOrder="0" shrinkToFit="0" wrapText="0"/>
    </xf>
    <xf borderId="3" fillId="3" fontId="2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/>
    </xf>
    <xf borderId="11" fillId="3" fontId="20" numFmtId="0" xfId="0" applyAlignment="1" applyBorder="1" applyFont="1">
      <alignment shrinkToFit="0" wrapText="0"/>
    </xf>
    <xf borderId="12" fillId="3" fontId="2" numFmtId="0" xfId="0" applyAlignment="1" applyBorder="1" applyFont="1">
      <alignment shrinkToFit="0" wrapText="0"/>
    </xf>
    <xf borderId="13" fillId="3" fontId="2" numFmtId="0" xfId="0" applyAlignment="1" applyBorder="1" applyFont="1">
      <alignment shrinkToFit="0" wrapText="0"/>
    </xf>
    <xf borderId="0" fillId="3" fontId="21" numFmtId="0" xfId="0" applyAlignment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right" shrinkToFit="0" wrapText="0"/>
    </xf>
    <xf borderId="1" fillId="3" fontId="2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horizontal="center" shrinkToFit="0" wrapText="0"/>
    </xf>
    <xf borderId="14" fillId="3" fontId="2" numFmtId="0" xfId="0" applyAlignment="1" applyBorder="1" applyFont="1">
      <alignment readingOrder="0" shrinkToFit="0" wrapText="0"/>
    </xf>
    <xf borderId="14" fillId="3" fontId="2" numFmtId="0" xfId="0" applyAlignment="1" applyBorder="1" applyFont="1">
      <alignment horizontal="right" shrinkToFit="0" wrapText="0"/>
    </xf>
    <xf borderId="14" fillId="3" fontId="2" numFmtId="0" xfId="0" applyAlignment="1" applyBorder="1" applyFont="1">
      <alignment shrinkToFit="0" wrapText="0"/>
    </xf>
    <xf borderId="14" fillId="3" fontId="2" numFmtId="0" xfId="0" applyAlignment="1" applyBorder="1" applyFont="1">
      <alignment horizontal="center" shrinkToFit="0" wrapText="0"/>
    </xf>
    <xf borderId="15" fillId="3" fontId="2" numFmtId="0" xfId="0" applyAlignment="1" applyBorder="1" applyFont="1">
      <alignment readingOrder="0" shrinkToFit="0" wrapText="0"/>
    </xf>
    <xf borderId="0" fillId="0" fontId="7" numFmtId="0" xfId="0" applyAlignment="1" applyFont="1">
      <alignment horizontal="center"/>
    </xf>
    <xf borderId="16" fillId="0" fontId="22" numFmtId="0" xfId="0" applyAlignment="1" applyBorder="1" applyFont="1">
      <alignment horizontal="center" readingOrder="0"/>
    </xf>
    <xf borderId="16" fillId="5" fontId="22" numFmtId="0" xfId="0" applyAlignment="1" applyBorder="1" applyFill="1" applyFont="1">
      <alignment readingOrder="0"/>
    </xf>
    <xf borderId="16" fillId="0" fontId="22" numFmtId="0" xfId="0" applyAlignment="1" applyBorder="1" applyFont="1">
      <alignment readingOrder="0"/>
    </xf>
    <xf borderId="16" fillId="6" fontId="22" numFmtId="0" xfId="0" applyAlignment="1" applyBorder="1" applyFill="1" applyFont="1">
      <alignment readingOrder="0"/>
    </xf>
    <xf borderId="16" fillId="7" fontId="22" numFmtId="0" xfId="0" applyAlignment="1" applyBorder="1" applyFill="1" applyFont="1">
      <alignment readingOrder="0"/>
    </xf>
    <xf borderId="16" fillId="8" fontId="22" numFmtId="0" xfId="0" applyAlignment="1" applyBorder="1" applyFill="1" applyFont="1">
      <alignment readingOrder="0"/>
    </xf>
    <xf borderId="16" fillId="9" fontId="22" numFmtId="0" xfId="0" applyAlignment="1" applyBorder="1" applyFill="1" applyFont="1">
      <alignment readingOrder="0"/>
    </xf>
    <xf borderId="0" fillId="0" fontId="23" numFmtId="0" xfId="0" applyFont="1"/>
    <xf borderId="16" fillId="0" fontId="23" numFmtId="0" xfId="0" applyAlignment="1" applyBorder="1" applyFont="1">
      <alignment horizontal="center" readingOrder="0"/>
    </xf>
    <xf borderId="16" fillId="5" fontId="23" numFmtId="0" xfId="0" applyAlignment="1" applyBorder="1" applyFont="1">
      <alignment readingOrder="0"/>
    </xf>
    <xf borderId="16" fillId="10" fontId="23" numFmtId="0" xfId="0" applyAlignment="1" applyBorder="1" applyFill="1" applyFont="1">
      <alignment readingOrder="0"/>
    </xf>
    <xf borderId="16" fillId="6" fontId="23" numFmtId="0" xfId="0" applyAlignment="1" applyBorder="1" applyFont="1">
      <alignment readingOrder="0"/>
    </xf>
    <xf borderId="16" fillId="7" fontId="23" numFmtId="0" xfId="0" applyAlignment="1" applyBorder="1" applyFont="1">
      <alignment readingOrder="0"/>
    </xf>
    <xf borderId="16" fillId="8" fontId="23" numFmtId="0" xfId="0" applyAlignment="1" applyBorder="1" applyFont="1">
      <alignment readingOrder="0"/>
    </xf>
    <xf borderId="16" fillId="9" fontId="23" numFmtId="0" xfId="0" applyAlignment="1" applyBorder="1" applyFont="1">
      <alignment readingOrder="0"/>
    </xf>
    <xf borderId="16" fillId="0" fontId="23" numFmtId="0" xfId="0" applyAlignment="1" applyBorder="1" applyFont="1">
      <alignment readingOrder="0"/>
    </xf>
    <xf borderId="17" fillId="0" fontId="24" numFmtId="0" xfId="0" applyAlignment="1" applyBorder="1" applyFont="1">
      <alignment horizontal="center" readingOrder="0" textRotation="90"/>
    </xf>
    <xf borderId="18" fillId="5" fontId="23" numFmtId="0" xfId="0" applyAlignment="1" applyBorder="1" applyFont="1">
      <alignment readingOrder="0"/>
    </xf>
    <xf borderId="19" fillId="11" fontId="23" numFmtId="0" xfId="0" applyAlignment="1" applyBorder="1" applyFill="1" applyFont="1">
      <alignment readingOrder="0"/>
    </xf>
    <xf borderId="19" fillId="6" fontId="23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19" fillId="7" fontId="23" numFmtId="0" xfId="0" applyAlignment="1" applyBorder="1" applyFont="1">
      <alignment readingOrder="0"/>
    </xf>
    <xf borderId="19" fillId="8" fontId="23" numFmtId="0" xfId="0" applyAlignment="1" applyBorder="1" applyFont="1">
      <alignment readingOrder="0"/>
    </xf>
    <xf borderId="19" fillId="0" fontId="23" numFmtId="0" xfId="0" applyAlignment="1" applyBorder="1" applyFont="1">
      <alignment readingOrder="0"/>
    </xf>
    <xf borderId="19" fillId="9" fontId="23" numFmtId="0" xfId="0" applyAlignment="1" applyBorder="1" applyFont="1">
      <alignment readingOrder="0"/>
    </xf>
    <xf borderId="19" fillId="5" fontId="23" numFmtId="0" xfId="0" applyAlignment="1" applyBorder="1" applyFont="1">
      <alignment readingOrder="0"/>
    </xf>
    <xf borderId="20" fillId="0" fontId="23" numFmtId="0" xfId="0" applyAlignment="1" applyBorder="1" applyFont="1">
      <alignment readingOrder="0"/>
    </xf>
    <xf borderId="21" fillId="8" fontId="23" numFmtId="0" xfId="0" applyAlignment="1" applyBorder="1" applyFont="1">
      <alignment readingOrder="0"/>
    </xf>
    <xf borderId="17" fillId="0" fontId="25" numFmtId="0" xfId="0" applyBorder="1" applyFont="1"/>
    <xf borderId="19" fillId="0" fontId="23" numFmtId="0" xfId="0" applyBorder="1" applyFont="1"/>
    <xf borderId="0" fillId="0" fontId="23" numFmtId="0" xfId="0" applyFont="1"/>
    <xf borderId="0" fillId="5" fontId="23" numFmtId="0" xfId="0" applyFont="1"/>
    <xf borderId="20" fillId="7" fontId="23" numFmtId="0" xfId="0" applyAlignment="1" applyBorder="1" applyFont="1">
      <alignment readingOrder="0"/>
    </xf>
    <xf borderId="20" fillId="5" fontId="23" numFmtId="0" xfId="0" applyAlignment="1" applyBorder="1" applyFont="1">
      <alignment readingOrder="0"/>
    </xf>
    <xf borderId="18" fillId="11" fontId="23" numFmtId="0" xfId="0" applyAlignment="1" applyBorder="1" applyFont="1">
      <alignment readingOrder="0"/>
    </xf>
    <xf borderId="18" fillId="5" fontId="26" numFmtId="0" xfId="0" applyAlignment="1" applyBorder="1" applyFont="1">
      <alignment vertical="bottom"/>
    </xf>
    <xf borderId="20" fillId="6" fontId="23" numFmtId="0" xfId="0" applyAlignment="1" applyBorder="1" applyFont="1">
      <alignment readingOrder="0"/>
    </xf>
    <xf borderId="0" fillId="5" fontId="23" numFmtId="0" xfId="0" applyAlignment="1" applyFont="1">
      <alignment readingOrder="0"/>
    </xf>
    <xf borderId="19" fillId="0" fontId="23" numFmtId="0" xfId="0" applyBorder="1" applyFont="1"/>
    <xf borderId="20" fillId="5" fontId="23" numFmtId="0" xfId="0" applyBorder="1" applyFont="1"/>
    <xf borderId="0" fillId="0" fontId="26" numFmtId="0" xfId="0" applyAlignment="1" applyFont="1">
      <alignment vertical="bottom"/>
    </xf>
    <xf borderId="1" fillId="4" fontId="26" numFmtId="0" xfId="0" applyAlignment="1" applyBorder="1" applyFont="1">
      <alignment shrinkToFit="0" vertical="bottom" wrapText="0"/>
    </xf>
    <xf borderId="19" fillId="5" fontId="7" numFmtId="0" xfId="0" applyBorder="1" applyFont="1"/>
    <xf borderId="20" fillId="0" fontId="26" numFmtId="0" xfId="0" applyAlignment="1" applyBorder="1" applyFont="1">
      <alignment vertical="bottom"/>
    </xf>
    <xf borderId="19" fillId="5" fontId="23" numFmtId="0" xfId="0" applyBorder="1" applyFont="1"/>
    <xf borderId="0" fillId="9" fontId="23" numFmtId="0" xfId="0" applyFont="1"/>
    <xf borderId="21" fillId="0" fontId="23" numFmtId="0" xfId="0" applyAlignment="1" applyBorder="1" applyFont="1">
      <alignment readingOrder="0"/>
    </xf>
    <xf borderId="0" fillId="11" fontId="23" numFmtId="0" xfId="0" applyAlignment="1" applyFont="1">
      <alignment readingOrder="0"/>
    </xf>
    <xf borderId="19" fillId="9" fontId="23" numFmtId="0" xfId="0" applyBorder="1" applyFont="1"/>
    <xf borderId="19" fillId="5" fontId="23" numFmtId="0" xfId="0" applyBorder="1" applyFont="1"/>
    <xf borderId="1" fillId="4" fontId="23" numFmtId="0" xfId="0" applyAlignment="1" applyBorder="1" applyFont="1">
      <alignment readingOrder="0" shrinkToFit="0" wrapText="0"/>
    </xf>
    <xf borderId="0" fillId="5" fontId="7" numFmtId="0" xfId="0" applyFont="1"/>
    <xf borderId="20" fillId="0" fontId="23" numFmtId="0" xfId="0" applyBorder="1" applyFont="1"/>
    <xf borderId="19" fillId="6" fontId="23" numFmtId="0" xfId="0" applyBorder="1" applyFont="1"/>
    <xf borderId="0" fillId="0" fontId="23" numFmtId="0" xfId="0" applyFont="1"/>
    <xf borderId="19" fillId="6" fontId="26" numFmtId="0" xfId="0" applyAlignment="1" applyBorder="1" applyFont="1">
      <alignment vertical="bottom"/>
    </xf>
    <xf borderId="20" fillId="7" fontId="23" numFmtId="0" xfId="0" applyBorder="1" applyFont="1"/>
    <xf borderId="0" fillId="0" fontId="7" numFmtId="0" xfId="0" applyFont="1"/>
    <xf borderId="22" fillId="0" fontId="25" numFmtId="0" xfId="0" applyBorder="1" applyFont="1"/>
    <xf borderId="23" fillId="5" fontId="23" numFmtId="0" xfId="0" applyAlignment="1" applyBorder="1" applyFont="1">
      <alignment readingOrder="0"/>
    </xf>
    <xf borderId="24" fillId="0" fontId="23" numFmtId="0" xfId="0" applyAlignment="1" applyBorder="1" applyFont="1">
      <alignment readingOrder="0"/>
    </xf>
    <xf borderId="24" fillId="6" fontId="23" numFmtId="0" xfId="0" applyAlignment="1" applyBorder="1" applyFont="1">
      <alignment readingOrder="0"/>
    </xf>
    <xf borderId="0" fillId="0" fontId="23" numFmtId="0" xfId="0" applyFont="1"/>
    <xf borderId="24" fillId="7" fontId="23" numFmtId="0" xfId="0" applyAlignment="1" applyBorder="1" applyFont="1">
      <alignment readingOrder="0"/>
    </xf>
    <xf borderId="24" fillId="8" fontId="23" numFmtId="0" xfId="0" applyAlignment="1" applyBorder="1" applyFont="1">
      <alignment readingOrder="0"/>
    </xf>
    <xf borderId="24" fillId="9" fontId="23" numFmtId="0" xfId="0" applyAlignment="1" applyBorder="1" applyFont="1">
      <alignment readingOrder="0"/>
    </xf>
    <xf borderId="24" fillId="5" fontId="23" numFmtId="0" xfId="0" applyAlignment="1" applyBorder="1" applyFont="1">
      <alignment readingOrder="0"/>
    </xf>
    <xf borderId="0" fillId="0" fontId="27" numFmtId="0" xfId="0" applyAlignment="1" applyFont="1">
      <alignment horizontal="center" readingOrder="0" textRotation="90" vertical="center"/>
    </xf>
    <xf borderId="25" fillId="0" fontId="7" numFmtId="0" xfId="0" applyBorder="1" applyFont="1"/>
    <xf borderId="0" fillId="0" fontId="23" numFmtId="0" xfId="0" applyAlignment="1" applyFont="1">
      <alignment readingOrder="0"/>
    </xf>
    <xf borderId="0" fillId="8" fontId="23" numFmtId="0" xfId="0" applyFont="1"/>
    <xf borderId="26" fillId="5" fontId="28" numFmtId="0" xfId="0" applyAlignment="1" applyBorder="1" applyFont="1">
      <alignment vertical="bottom"/>
    </xf>
    <xf borderId="0" fillId="5" fontId="28" numFmtId="0" xfId="0" applyAlignment="1" applyFont="1">
      <alignment vertical="bottom"/>
    </xf>
    <xf borderId="26" fillId="0" fontId="29" numFmtId="0" xfId="0" applyAlignment="1" applyBorder="1" applyFont="1">
      <alignment vertical="bottom"/>
    </xf>
    <xf borderId="26" fillId="3" fontId="28" numFmtId="0" xfId="0" applyAlignment="1" applyBorder="1" applyFont="1">
      <alignment vertical="bottom"/>
    </xf>
    <xf borderId="26" fillId="0" fontId="28" numFmtId="0" xfId="0" applyAlignment="1" applyBorder="1" applyFont="1">
      <alignment horizontal="center" vertical="bottom"/>
    </xf>
    <xf borderId="26" fillId="3" fontId="30" numFmtId="0" xfId="0" applyAlignment="1" applyBorder="1" applyFont="1">
      <alignment vertical="bottom"/>
    </xf>
    <xf borderId="26" fillId="0" fontId="31" numFmtId="0" xfId="0" applyAlignment="1" applyBorder="1" applyFont="1">
      <alignment shrinkToFit="0" vertical="bottom" wrapText="0"/>
    </xf>
    <xf borderId="26" fillId="0" fontId="28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26" fillId="0" fontId="29" numFmtId="0" xfId="0" applyAlignment="1" applyBorder="1" applyFont="1">
      <alignment shrinkToFit="0" vertical="bottom" wrapText="1"/>
    </xf>
    <xf borderId="26" fillId="0" fontId="28" numFmtId="0" xfId="0" applyAlignment="1" applyBorder="1" applyFont="1">
      <alignment horizontal="center" shrinkToFit="0" vertical="bottom" wrapText="1"/>
    </xf>
    <xf borderId="26" fillId="0" fontId="28" numFmtId="0" xfId="0" applyAlignment="1" applyBorder="1" applyFont="1">
      <alignment horizontal="right" shrinkToFit="0" vertical="bottom" wrapText="1"/>
    </xf>
    <xf borderId="26" fillId="0" fontId="32" numFmtId="0" xfId="0" applyAlignment="1" applyBorder="1" applyFont="1">
      <alignment shrinkToFit="0" vertical="bottom" wrapText="0"/>
    </xf>
    <xf borderId="26" fillId="0" fontId="28" numFmtId="0" xfId="0" applyAlignment="1" applyBorder="1" applyFont="1">
      <alignment shrinkToFit="0" vertical="bottom" wrapText="1"/>
    </xf>
    <xf borderId="0" fillId="3" fontId="28" numFmtId="0" xfId="0" applyAlignment="1" applyFont="1">
      <alignment vertical="bottom"/>
    </xf>
    <xf borderId="26" fillId="4" fontId="2" numFmtId="0" xfId="0" applyAlignment="1" applyBorder="1" applyFont="1">
      <alignment readingOrder="0" shrinkToFit="0" wrapText="0"/>
    </xf>
    <xf borderId="26" fillId="3" fontId="2" numFmtId="0" xfId="0" applyAlignment="1" applyBorder="1" applyFont="1">
      <alignment shrinkToFit="0" wrapText="0"/>
    </xf>
    <xf borderId="26" fillId="4" fontId="2" numFmtId="0" xfId="0" applyAlignment="1" applyBorder="1" applyFont="1">
      <alignment horizontal="right" shrinkToFit="0" wrapText="0"/>
    </xf>
    <xf borderId="26" fillId="4" fontId="2" numFmtId="0" xfId="0" applyAlignment="1" applyBorder="1" applyFont="1">
      <alignment shrinkToFit="0" wrapText="0"/>
    </xf>
    <xf borderId="26" fillId="4" fontId="2" numFmtId="0" xfId="0" applyAlignment="1" applyBorder="1" applyFont="1">
      <alignment horizontal="center" readingOrder="0" shrinkToFit="0" wrapText="0"/>
    </xf>
    <xf borderId="26" fillId="4" fontId="33" numFmtId="0" xfId="0" applyAlignment="1" applyBorder="1" applyFont="1">
      <alignment shrinkToFit="0" wrapText="0"/>
    </xf>
    <xf borderId="26" fillId="0" fontId="7" numFmtId="0" xfId="0" applyBorder="1" applyFont="1"/>
    <xf borderId="26" fillId="3" fontId="29" numFmtId="0" xfId="0" applyAlignment="1" applyBorder="1" applyFont="1">
      <alignment readingOrder="0" vertical="bottom"/>
    </xf>
    <xf borderId="26" fillId="3" fontId="28" numFmtId="0" xfId="0" applyAlignment="1" applyBorder="1" applyFont="1">
      <alignment vertical="bottom"/>
    </xf>
    <xf borderId="26" fillId="0" fontId="28" numFmtId="0" xfId="0" applyAlignment="1" applyBorder="1" applyFont="1">
      <alignment horizontal="center" vertical="bottom"/>
    </xf>
    <xf borderId="26" fillId="0" fontId="28" numFmtId="0" xfId="0" applyAlignment="1" applyBorder="1" applyFont="1">
      <alignment vertical="bottom"/>
    </xf>
    <xf borderId="26" fillId="0" fontId="34" numFmtId="0" xfId="0" applyAlignment="1" applyBorder="1" applyFont="1">
      <alignment vertical="bottom"/>
    </xf>
    <xf borderId="26" fillId="0" fontId="35" numFmtId="0" xfId="0" applyAlignment="1" applyBorder="1" applyFont="1">
      <alignment vertical="bottom"/>
    </xf>
    <xf borderId="0" fillId="12" fontId="28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26" fillId="3" fontId="29" numFmtId="0" xfId="0" applyAlignment="1" applyBorder="1" applyFont="1">
      <alignment vertical="bottom"/>
    </xf>
    <xf borderId="26" fillId="0" fontId="36" numFmtId="0" xfId="0" applyAlignment="1" applyBorder="1" applyFont="1">
      <alignment vertical="bottom"/>
    </xf>
    <xf borderId="26" fillId="0" fontId="29" numFmtId="0" xfId="0" applyAlignment="1" applyBorder="1" applyFont="1">
      <alignment vertical="bottom"/>
    </xf>
    <xf borderId="26" fillId="0" fontId="28" numFmtId="0" xfId="0" applyAlignment="1" applyBorder="1" applyFont="1">
      <alignment vertical="bottom"/>
    </xf>
    <xf borderId="26" fillId="0" fontId="28" numFmtId="0" xfId="0" applyAlignment="1" applyBorder="1" applyFont="1">
      <alignment horizontal="center" vertical="bottom"/>
    </xf>
    <xf borderId="27" fillId="0" fontId="28" numFmtId="0" xfId="0" applyAlignment="1" applyBorder="1" applyFont="1">
      <alignment vertical="bottom"/>
    </xf>
    <xf borderId="0" fillId="0" fontId="37" numFmtId="0" xfId="0" applyAlignment="1" applyFont="1">
      <alignment vertical="bottom"/>
    </xf>
    <xf borderId="28" fillId="0" fontId="28" numFmtId="0" xfId="0" applyAlignment="1" applyBorder="1" applyFont="1">
      <alignment vertical="bottom"/>
    </xf>
    <xf borderId="26" fillId="3" fontId="29" numFmtId="0" xfId="0" applyAlignment="1" applyBorder="1" applyFont="1">
      <alignment vertical="bottom"/>
    </xf>
    <xf borderId="26" fillId="3" fontId="28" numFmtId="0" xfId="0" applyAlignment="1" applyBorder="1" applyFont="1">
      <alignment horizontal="center" vertical="bottom"/>
    </xf>
    <xf borderId="26" fillId="3" fontId="28" numFmtId="0" xfId="0" applyAlignment="1" applyBorder="1" applyFont="1">
      <alignment vertical="bottom"/>
    </xf>
    <xf borderId="26" fillId="0" fontId="28" numFmtId="0" xfId="0" applyAlignment="1" applyBorder="1" applyFont="1">
      <alignment horizontal="right" vertical="bottom"/>
    </xf>
    <xf borderId="26" fillId="0" fontId="38" numFmtId="0" xfId="0" applyAlignment="1" applyBorder="1" applyFont="1">
      <alignment vertical="bottom"/>
    </xf>
    <xf borderId="26" fillId="3" fontId="39" numFmtId="0" xfId="0" applyAlignment="1" applyBorder="1" applyFont="1">
      <alignment vertical="bottom"/>
    </xf>
    <xf borderId="26" fillId="8" fontId="28" numFmtId="0" xfId="0" applyAlignment="1" applyBorder="1" applyFont="1">
      <alignment vertical="bottom"/>
    </xf>
    <xf borderId="26" fillId="3" fontId="40" numFmtId="0" xfId="0" applyAlignment="1" applyBorder="1" applyFont="1">
      <alignment vertical="bottom"/>
    </xf>
    <xf borderId="26" fillId="3" fontId="41" numFmtId="0" xfId="0" applyAlignment="1" applyBorder="1" applyFont="1">
      <alignment shrinkToFit="0" vertical="bottom" wrapText="0"/>
    </xf>
    <xf borderId="0" fillId="8" fontId="28" numFmtId="0" xfId="0" applyAlignment="1" applyFont="1">
      <alignment vertical="bottom"/>
    </xf>
    <xf borderId="26" fillId="8" fontId="35" numFmtId="0" xfId="0" applyAlignment="1" applyBorder="1" applyFont="1">
      <alignment vertical="bottom"/>
    </xf>
    <xf borderId="0" fillId="3" fontId="42" numFmtId="0" xfId="0" applyAlignment="1" applyFont="1">
      <alignment vertical="bottom"/>
    </xf>
    <xf borderId="26" fillId="3" fontId="28" numFmtId="0" xfId="0" applyAlignment="1" applyBorder="1" applyFont="1">
      <alignment horizontal="center" vertical="bottom"/>
    </xf>
    <xf borderId="26" fillId="3" fontId="43" numFmtId="0" xfId="0" applyAlignment="1" applyBorder="1" applyFont="1">
      <alignment vertical="bottom"/>
    </xf>
    <xf borderId="26" fillId="3" fontId="29" numFmtId="0" xfId="0" applyAlignment="1" applyBorder="1" applyFont="1">
      <alignment readingOrder="0" vertical="bottom"/>
    </xf>
    <xf borderId="26" fillId="3" fontId="44" numFmtId="0" xfId="0" applyAlignment="1" applyBorder="1" applyFont="1">
      <alignment vertical="bottom"/>
    </xf>
    <xf borderId="26" fillId="0" fontId="28" numFmtId="0" xfId="0" applyAlignment="1" applyBorder="1" applyFont="1">
      <alignment horizontal="right" vertical="bottom"/>
    </xf>
    <xf borderId="26" fillId="8" fontId="28" numFmtId="0" xfId="0" applyAlignment="1" applyBorder="1" applyFont="1">
      <alignment vertical="bottom"/>
    </xf>
    <xf borderId="26" fillId="0" fontId="30" numFmtId="0" xfId="0" applyAlignment="1" applyBorder="1" applyFont="1">
      <alignment horizontal="center" vertical="bottom"/>
    </xf>
    <xf borderId="26" fillId="0" fontId="45" numFmtId="0" xfId="0" applyAlignment="1" applyBorder="1" applyFont="1">
      <alignment vertical="bottom"/>
    </xf>
    <xf borderId="26" fillId="3" fontId="46" numFmtId="0" xfId="0" applyAlignment="1" applyBorder="1" applyFont="1">
      <alignment shrinkToFit="0" vertical="bottom" wrapText="0"/>
    </xf>
    <xf borderId="26" fillId="0" fontId="47" numFmtId="0" xfId="0" applyAlignment="1" applyBorder="1" applyFont="1">
      <alignment vertical="bottom"/>
    </xf>
    <xf borderId="26" fillId="0" fontId="48" numFmtId="0" xfId="0" applyAlignment="1" applyBorder="1" applyFont="1">
      <alignment vertical="bottom"/>
    </xf>
    <xf borderId="26" fillId="0" fontId="44" numFmtId="0" xfId="0" applyAlignment="1" applyBorder="1" applyFont="1">
      <alignment vertical="bottom"/>
    </xf>
    <xf borderId="28" fillId="3" fontId="30" numFmtId="0" xfId="0" applyAlignment="1" applyBorder="1" applyFont="1">
      <alignment vertical="bottom"/>
    </xf>
    <xf borderId="28" fillId="3" fontId="28" numFmtId="0" xfId="0" applyAlignment="1" applyBorder="1" applyFont="1">
      <alignment horizontal="center" vertical="bottom"/>
    </xf>
    <xf borderId="28" fillId="3" fontId="28" numFmtId="0" xfId="0" applyAlignment="1" applyBorder="1" applyFont="1">
      <alignment vertical="bottom"/>
    </xf>
    <xf borderId="28" fillId="0" fontId="44" numFmtId="0" xfId="0" applyAlignment="1" applyBorder="1" applyFont="1">
      <alignment horizontal="center" vertical="bottom"/>
    </xf>
    <xf borderId="28" fillId="0" fontId="49" numFmtId="0" xfId="0" applyAlignment="1" applyBorder="1" applyFont="1">
      <alignment shrinkToFit="0" vertical="bottom" wrapText="0"/>
    </xf>
    <xf borderId="28" fillId="0" fontId="50" numFmtId="0" xfId="0" applyAlignment="1" applyBorder="1" applyFont="1">
      <alignment vertical="bottom"/>
    </xf>
    <xf borderId="28" fillId="0" fontId="51" numFmtId="0" xfId="0" applyAlignment="1" applyBorder="1" applyFont="1">
      <alignment vertical="bottom"/>
    </xf>
    <xf borderId="28" fillId="0" fontId="44" numFmtId="0" xfId="0" applyAlignment="1" applyBorder="1" applyFont="1">
      <alignment vertical="bottom"/>
    </xf>
    <xf borderId="28" fillId="0" fontId="28" numFmtId="0" xfId="0" applyAlignment="1" applyBorder="1" applyFont="1">
      <alignment vertical="bottom"/>
    </xf>
    <xf borderId="26" fillId="3" fontId="47" numFmtId="0" xfId="0" applyAlignment="1" applyBorder="1" applyFont="1">
      <alignment vertical="bottom"/>
    </xf>
    <xf borderId="26" fillId="3" fontId="44" numFmtId="0" xfId="0" applyAlignment="1" applyBorder="1" applyFont="1">
      <alignment horizontal="center" vertical="bottom"/>
    </xf>
    <xf borderId="26" fillId="13" fontId="52" numFmtId="0" xfId="0" applyAlignment="1" applyBorder="1" applyFill="1" applyFont="1">
      <alignment horizontal="center" vertical="bottom"/>
    </xf>
    <xf borderId="0" fillId="13" fontId="28" numFmtId="0" xfId="0" applyAlignment="1" applyFont="1">
      <alignment vertical="bottom"/>
    </xf>
    <xf borderId="26" fillId="12" fontId="28" numFmtId="0" xfId="0" applyAlignment="1" applyBorder="1" applyFont="1">
      <alignment vertical="bottom"/>
    </xf>
    <xf borderId="26" fillId="12" fontId="28" numFmtId="0" xfId="0" applyAlignment="1" applyBorder="1" applyFont="1">
      <alignment horizontal="center" vertical="bottom"/>
    </xf>
    <xf borderId="26" fillId="0" fontId="28" numFmtId="0" xfId="0" applyAlignment="1" applyBorder="1" applyFont="1">
      <alignment readingOrder="0" vertical="bottom"/>
    </xf>
    <xf borderId="26" fillId="0" fontId="53" numFmtId="0" xfId="0" applyAlignment="1" applyBorder="1" applyFont="1">
      <alignment vertical="bottom"/>
    </xf>
    <xf borderId="26" fillId="0" fontId="30" numFmtId="0" xfId="0" applyAlignment="1" applyBorder="1" applyFont="1">
      <alignment vertical="bottom"/>
    </xf>
    <xf borderId="26" fillId="3" fontId="29" numFmtId="0" xfId="0" applyAlignment="1" applyBorder="1" applyFont="1">
      <alignment shrinkToFit="0" vertical="bottom" wrapText="1"/>
    </xf>
    <xf borderId="26" fillId="3" fontId="28" numFmtId="0" xfId="0" applyAlignment="1" applyBorder="1" applyFont="1">
      <alignment horizontal="center" shrinkToFit="0" vertical="bottom" wrapText="1"/>
    </xf>
    <xf borderId="26" fillId="3" fontId="28" numFmtId="0" xfId="0" applyAlignment="1" applyBorder="1" applyFont="1">
      <alignment horizontal="right" shrinkToFit="0" vertical="bottom" wrapText="1"/>
    </xf>
    <xf borderId="26" fillId="3" fontId="28" numFmtId="0" xfId="0" applyAlignment="1" applyBorder="1" applyFont="1">
      <alignment shrinkToFit="0" vertical="bottom" wrapText="1"/>
    </xf>
    <xf borderId="26" fillId="3" fontId="54" numFmtId="0" xfId="0" applyAlignment="1" applyBorder="1" applyFont="1">
      <alignment vertical="bottom"/>
    </xf>
    <xf borderId="26" fillId="3" fontId="2" numFmtId="0" xfId="0" applyAlignment="1" applyBorder="1" applyFont="1">
      <alignment readingOrder="0" shrinkToFit="0" wrapText="0"/>
    </xf>
    <xf borderId="26" fillId="3" fontId="2" numFmtId="0" xfId="0" applyAlignment="1" applyBorder="1" applyFont="1">
      <alignment horizontal="right" shrinkToFit="0" wrapText="0"/>
    </xf>
    <xf borderId="26" fillId="3" fontId="2" numFmtId="0" xfId="0" applyAlignment="1" applyBorder="1" applyFont="1">
      <alignment horizontal="center" shrinkToFit="0" wrapText="0"/>
    </xf>
    <xf borderId="26" fillId="3" fontId="55" numFmtId="0" xfId="0" applyAlignment="1" applyBorder="1" applyFont="1">
      <alignment shrinkToFit="0" wrapText="0"/>
    </xf>
    <xf borderId="26" fillId="3" fontId="56" numFmtId="0" xfId="0" applyAlignment="1" applyBorder="1" applyFont="1">
      <alignment vertical="bottom"/>
    </xf>
    <xf borderId="26" fillId="0" fontId="44" numFmtId="0" xfId="0" applyAlignment="1" applyBorder="1" applyFont="1">
      <alignment horizontal="center" vertical="bottom"/>
    </xf>
    <xf borderId="26" fillId="0" fontId="57" numFmtId="0" xfId="0" applyAlignment="1" applyBorder="1" applyFont="1">
      <alignment vertical="bottom"/>
    </xf>
    <xf borderId="29" fillId="0" fontId="58" numFmtId="0" xfId="0" applyAlignment="1" applyBorder="1" applyFont="1">
      <alignment shrinkToFit="0" vertical="bottom" wrapText="0"/>
    </xf>
    <xf borderId="0" fillId="0" fontId="30" numFmtId="0" xfId="0" applyAlignment="1" applyFont="1">
      <alignment vertical="bottom"/>
    </xf>
    <xf borderId="26" fillId="0" fontId="7" numFmtId="0" xfId="0" applyAlignment="1" applyBorder="1" applyFont="1">
      <alignment readingOrder="0"/>
    </xf>
    <xf borderId="26" fillId="3" fontId="2" numFmtId="0" xfId="0" applyAlignment="1" applyBorder="1" applyFont="1">
      <alignment horizontal="center" readingOrder="0" shrinkToFit="0" wrapText="0"/>
    </xf>
    <xf borderId="26" fillId="3" fontId="57" numFmtId="0" xfId="0" applyAlignment="1" applyBorder="1" applyFont="1">
      <alignment vertical="bottom"/>
    </xf>
    <xf borderId="26" fillId="3" fontId="59" numFmtId="0" xfId="0" applyAlignment="1" applyBorder="1" applyFont="1">
      <alignment vertical="bottom"/>
    </xf>
    <xf borderId="26" fillId="3" fontId="60" numFmtId="0" xfId="0" applyAlignment="1" applyBorder="1" applyFont="1">
      <alignment vertical="bottom"/>
    </xf>
    <xf borderId="26" fillId="0" fontId="29" numFmtId="0" xfId="0" applyAlignment="1" applyBorder="1" applyFont="1">
      <alignment readingOrder="0" vertical="bottom"/>
    </xf>
    <xf borderId="26" fillId="3" fontId="61" numFmtId="0" xfId="0" applyAlignment="1" applyBorder="1" applyFont="1">
      <alignment horizontal="center" shrinkToFit="0" vertical="bottom" wrapText="0"/>
    </xf>
    <xf borderId="0" fillId="3" fontId="28" numFmtId="0" xfId="0" applyAlignment="1" applyFont="1">
      <alignment horizontal="center" vertical="bottom"/>
    </xf>
    <xf borderId="26" fillId="3" fontId="62" numFmtId="0" xfId="0" applyAlignment="1" applyBorder="1" applyFont="1">
      <alignment vertical="bottom"/>
    </xf>
    <xf borderId="0" fillId="3" fontId="30" numFmtId="0" xfId="0" applyAlignment="1" applyFont="1">
      <alignment vertical="bottom"/>
    </xf>
    <xf borderId="26" fillId="3" fontId="30" numFmtId="0" xfId="0" applyAlignment="1" applyBorder="1" applyFont="1">
      <alignment horizontal="center" vertical="bottom"/>
    </xf>
    <xf borderId="26" fillId="3" fontId="35" numFmtId="0" xfId="0" applyAlignment="1" applyBorder="1" applyFont="1">
      <alignment vertical="bottom"/>
    </xf>
    <xf borderId="0" fillId="3" fontId="29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3" fontId="29" numFmtId="0" xfId="0" applyAlignment="1" applyFont="1">
      <alignment vertical="bottom"/>
    </xf>
    <xf borderId="0" fillId="0" fontId="63" numFmtId="0" xfId="0" applyAlignment="1" applyFont="1">
      <alignment vertical="bottom"/>
    </xf>
    <xf borderId="26" fillId="3" fontId="29" numFmtId="0" xfId="0" applyAlignment="1" applyBorder="1" applyFont="1">
      <alignment vertical="bottom"/>
    </xf>
    <xf borderId="26" fillId="0" fontId="28" numFmtId="0" xfId="0" applyAlignment="1" applyBorder="1" applyFont="1">
      <alignment horizontal="right" vertical="bottom"/>
    </xf>
    <xf borderId="28" fillId="8" fontId="28" numFmtId="0" xfId="0" applyAlignment="1" applyBorder="1" applyFont="1">
      <alignment vertical="bottom"/>
    </xf>
    <xf borderId="28" fillId="0" fontId="64" numFmtId="0" xfId="0" applyAlignment="1" applyBorder="1" applyFont="1">
      <alignment vertical="bottom"/>
    </xf>
    <xf borderId="28" fillId="0" fontId="28" numFmtId="0" xfId="0" applyAlignment="1" applyBorder="1" applyFont="1">
      <alignment horizontal="center" shrinkToFit="0" vertical="bottom" wrapText="1"/>
    </xf>
    <xf borderId="28" fillId="0" fontId="28" numFmtId="0" xfId="0" applyAlignment="1" applyBorder="1" applyFont="1">
      <alignment shrinkToFit="0" vertical="bottom" wrapText="1"/>
    </xf>
    <xf borderId="28" fillId="0" fontId="65" numFmtId="0" xfId="0" applyAlignment="1" applyBorder="1" applyFont="1">
      <alignment shrinkToFit="0" vertical="bottom" wrapText="0"/>
    </xf>
    <xf borderId="28" fillId="3" fontId="2" numFmtId="0" xfId="0" applyAlignment="1" applyBorder="1" applyFont="1">
      <alignment shrinkToFit="0" wrapText="0"/>
    </xf>
    <xf borderId="28" fillId="4" fontId="2" numFmtId="0" xfId="0" applyAlignment="1" applyBorder="1" applyFont="1">
      <alignment horizontal="right" shrinkToFit="0" wrapText="0"/>
    </xf>
    <xf borderId="28" fillId="4" fontId="2" numFmtId="0" xfId="0" applyAlignment="1" applyBorder="1" applyFont="1">
      <alignment shrinkToFit="0" wrapText="0"/>
    </xf>
    <xf borderId="28" fillId="4" fontId="2" numFmtId="0" xfId="0" applyAlignment="1" applyBorder="1" applyFont="1">
      <alignment readingOrder="0" shrinkToFit="0" wrapText="0"/>
    </xf>
    <xf borderId="28" fillId="4" fontId="66" numFmtId="0" xfId="0" applyAlignment="1" applyBorder="1" applyFont="1">
      <alignment shrinkToFit="0" wrapText="0"/>
    </xf>
    <xf borderId="28" fillId="0" fontId="7" numFmtId="0" xfId="0" applyBorder="1" applyFont="1"/>
    <xf borderId="28" fillId="0" fontId="28" numFmtId="0" xfId="0" applyAlignment="1" applyBorder="1" applyFont="1">
      <alignment horizontal="center" vertical="bottom"/>
    </xf>
    <xf borderId="28" fillId="3" fontId="28" numFmtId="0" xfId="0" applyAlignment="1" applyBorder="1" applyFont="1">
      <alignment vertical="bottom"/>
    </xf>
    <xf borderId="28" fillId="3" fontId="67" numFmtId="0" xfId="0" applyAlignment="1" applyBorder="1" applyFont="1">
      <alignment vertical="bottom"/>
    </xf>
    <xf borderId="28" fillId="3" fontId="68" numFmtId="0" xfId="0" applyAlignment="1" applyBorder="1" applyFont="1">
      <alignment shrinkToFit="0" vertical="bottom" wrapText="0"/>
    </xf>
    <xf borderId="28" fillId="3" fontId="28" numFmtId="0" xfId="0" applyAlignment="1" applyBorder="1" applyFont="1">
      <alignment horizontal="right" vertical="bottom"/>
    </xf>
    <xf borderId="0" fillId="3" fontId="63" numFmtId="0" xfId="0" applyAlignment="1" applyFont="1">
      <alignment vertical="bottom"/>
    </xf>
    <xf borderId="28" fillId="3" fontId="44" numFmtId="0" xfId="0" applyAlignment="1" applyBorder="1" applyFont="1">
      <alignment horizontal="center" vertical="bottom"/>
    </xf>
    <xf borderId="28" fillId="0" fontId="69" numFmtId="0" xfId="0" applyAlignment="1" applyBorder="1" applyFont="1">
      <alignment vertical="bottom"/>
    </xf>
    <xf borderId="28" fillId="8" fontId="28" numFmtId="0" xfId="0" applyAlignment="1" applyBorder="1" applyFont="1">
      <alignment horizontal="right" vertical="bottom"/>
    </xf>
    <xf borderId="0" fillId="3" fontId="47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0" fillId="3" fontId="30" numFmtId="0" xfId="0" applyAlignment="1" applyFont="1">
      <alignment horizontal="center" vertical="bottom"/>
    </xf>
    <xf borderId="0" fillId="0" fontId="70" numFmtId="0" xfId="0" applyAlignment="1" applyFont="1">
      <alignment vertical="bottom"/>
    </xf>
    <xf borderId="0" fillId="0" fontId="71" numFmtId="0" xfId="0" applyAlignment="1" applyFont="1">
      <alignment vertical="bottom"/>
    </xf>
    <xf borderId="0" fillId="8" fontId="30" numFmtId="0" xfId="0" applyAlignment="1" applyFont="1">
      <alignment vertical="bottom"/>
    </xf>
    <xf borderId="28" fillId="0" fontId="30" numFmtId="0" xfId="0" applyAlignment="1" applyBorder="1" applyFont="1">
      <alignment vertical="bottom"/>
    </xf>
    <xf borderId="28" fillId="3" fontId="72" numFmtId="0" xfId="0" applyAlignment="1" applyBorder="1" applyFont="1">
      <alignment vertical="bottom"/>
    </xf>
    <xf borderId="28" fillId="8" fontId="30" numFmtId="0" xfId="0" applyAlignment="1" applyBorder="1" applyFont="1">
      <alignment vertical="bottom"/>
    </xf>
    <xf borderId="28" fillId="3" fontId="30" numFmtId="0" xfId="0" applyAlignment="1" applyBorder="1" applyFont="1">
      <alignment horizontal="center" vertical="bottom"/>
    </xf>
    <xf borderId="28" fillId="0" fontId="73" numFmtId="0" xfId="0" applyAlignment="1" applyBorder="1" applyFont="1">
      <alignment vertical="bottom"/>
    </xf>
    <xf borderId="28" fillId="3" fontId="74" numFmtId="0" xfId="0" applyAlignment="1" applyBorder="1" applyFont="1">
      <alignment vertical="bottom"/>
    </xf>
    <xf borderId="28" fillId="3" fontId="75" numFmtId="0" xfId="0" applyAlignment="1" applyBorder="1" applyFont="1">
      <alignment vertical="bottom"/>
    </xf>
    <xf borderId="28" fillId="0" fontId="28" numFmtId="0" xfId="0" applyAlignment="1" applyBorder="1" applyFont="1">
      <alignment horizontal="right" shrinkToFit="0" vertical="bottom" wrapText="1"/>
    </xf>
    <xf borderId="28" fillId="0" fontId="28" numFmtId="0" xfId="0" applyAlignment="1" applyBorder="1" applyFont="1">
      <alignment horizontal="center" vertical="bottom"/>
    </xf>
    <xf borderId="28" fillId="3" fontId="28" numFmtId="0" xfId="0" applyAlignment="1" applyBorder="1" applyFont="1">
      <alignment horizontal="center" vertical="bottom"/>
    </xf>
    <xf borderId="28" fillId="3" fontId="76" numFmtId="0" xfId="0" applyAlignment="1" applyBorder="1" applyFont="1">
      <alignment shrinkToFit="0" vertical="bottom" wrapText="0"/>
    </xf>
    <xf borderId="30" fillId="3" fontId="28" numFmtId="0" xfId="0" applyAlignment="1" applyBorder="1" applyFont="1">
      <alignment vertical="bottom"/>
    </xf>
    <xf borderId="28" fillId="3" fontId="28" numFmtId="0" xfId="0" applyAlignment="1" applyBorder="1" applyFont="1">
      <alignment horizontal="right" vertical="bottom"/>
    </xf>
    <xf borderId="28" fillId="3" fontId="77" numFmtId="0" xfId="0" applyAlignment="1" applyBorder="1" applyFont="1">
      <alignment vertical="bottom"/>
    </xf>
    <xf borderId="28" fillId="3" fontId="2" numFmtId="0" xfId="0" applyAlignment="1" applyBorder="1" applyFont="1">
      <alignment horizontal="right" shrinkToFit="0" wrapText="0"/>
    </xf>
    <xf borderId="28" fillId="3" fontId="2" numFmtId="0" xfId="0" applyAlignment="1" applyBorder="1" applyFont="1">
      <alignment horizontal="center" readingOrder="0" shrinkToFit="0" wrapText="0"/>
    </xf>
    <xf borderId="28" fillId="3" fontId="78" numFmtId="0" xfId="0" applyAlignment="1" applyBorder="1" applyFont="1">
      <alignment shrinkToFit="0" wrapText="0"/>
    </xf>
    <xf borderId="28" fillId="3" fontId="2" numFmtId="0" xfId="0" applyAlignment="1" applyBorder="1" applyFont="1">
      <alignment readingOrder="0" shrinkToFit="0" wrapText="0"/>
    </xf>
    <xf borderId="26" fillId="4" fontId="2" numFmtId="0" xfId="0" applyAlignment="1" applyBorder="1" applyFont="1">
      <alignment horizontal="center" shrinkToFit="0" wrapText="0"/>
    </xf>
    <xf borderId="26" fillId="0" fontId="79" numFmtId="0" xfId="0" applyAlignment="1" applyBorder="1" applyFont="1">
      <alignment vertical="bottom"/>
    </xf>
    <xf borderId="0" fillId="3" fontId="29" numFmtId="0" xfId="0" applyAlignment="1" applyFont="1">
      <alignment vertical="bottom"/>
    </xf>
    <xf borderId="28" fillId="0" fontId="80" numFmtId="0" xfId="0" applyAlignment="1" applyBorder="1" applyFont="1">
      <alignment vertical="bottom"/>
    </xf>
    <xf borderId="28" fillId="0" fontId="81" numFmtId="0" xfId="0" applyAlignment="1" applyBorder="1" applyFont="1">
      <alignment vertical="bottom"/>
    </xf>
    <xf borderId="28" fillId="0" fontId="57" numFmtId="0" xfId="0" applyAlignment="1" applyBorder="1" applyFont="1">
      <alignment vertical="bottom"/>
    </xf>
    <xf borderId="28" fillId="3" fontId="28" numFmtId="0" xfId="0" applyAlignment="1" applyBorder="1" applyFont="1">
      <alignment readingOrder="0" vertical="bottom"/>
    </xf>
    <xf borderId="28" fillId="3" fontId="28" numFmtId="0" xfId="0" applyAlignment="1" applyBorder="1" applyFont="1">
      <alignment vertical="bottom"/>
    </xf>
    <xf borderId="28" fillId="0" fontId="28" numFmtId="0" xfId="0" applyAlignment="1" applyBorder="1" applyFont="1">
      <alignment vertical="bottom"/>
    </xf>
    <xf borderId="30" fillId="8" fontId="28" numFmtId="0" xfId="0" applyAlignment="1" applyBorder="1" applyFont="1">
      <alignment vertical="bottom"/>
    </xf>
    <xf borderId="26" fillId="14" fontId="29" numFmtId="0" xfId="0" applyAlignment="1" applyBorder="1" applyFill="1" applyFont="1">
      <alignment vertical="bottom"/>
    </xf>
    <xf borderId="26" fillId="3" fontId="28" numFmtId="0" xfId="0" applyAlignment="1" applyBorder="1" applyFont="1">
      <alignment shrinkToFit="0" vertical="bottom" wrapText="0"/>
    </xf>
    <xf borderId="26" fillId="3" fontId="30" numFmtId="0" xfId="0" applyAlignment="1" applyBorder="1" applyFont="1">
      <alignment vertical="bottom"/>
    </xf>
    <xf borderId="28" fillId="3" fontId="82" numFmtId="0" xfId="0" applyAlignment="1" applyBorder="1" applyFont="1">
      <alignment vertical="bottom"/>
    </xf>
    <xf borderId="28" fillId="3" fontId="44" numFmtId="0" xfId="0" applyAlignment="1" applyBorder="1" applyFont="1">
      <alignment vertical="bottom"/>
    </xf>
    <xf borderId="28" fillId="3" fontId="83" numFmtId="0" xfId="0" applyAlignment="1" applyBorder="1" applyFont="1">
      <alignment vertical="bottom"/>
    </xf>
    <xf borderId="28" fillId="3" fontId="28" numFmtId="0" xfId="0" applyAlignment="1" applyBorder="1" applyFont="1">
      <alignment horizontal="center" vertical="bottom"/>
    </xf>
    <xf borderId="28" fillId="3" fontId="84" numFmtId="0" xfId="0" applyAlignment="1" applyBorder="1" applyFont="1">
      <alignment vertical="bottom"/>
    </xf>
    <xf borderId="28" fillId="3" fontId="85" numFmtId="0" xfId="0" applyAlignment="1" applyBorder="1" applyFont="1">
      <alignment vertical="bottom"/>
    </xf>
    <xf borderId="26" fillId="14" fontId="47" numFmtId="0" xfId="0" applyAlignment="1" applyBorder="1" applyFont="1">
      <alignment vertical="bottom"/>
    </xf>
    <xf borderId="28" fillId="3" fontId="30" numFmtId="0" xfId="0" applyAlignment="1" applyBorder="1" applyFont="1">
      <alignment vertical="bottom"/>
    </xf>
    <xf borderId="26" fillId="3" fontId="47" numFmtId="0" xfId="0" applyAlignment="1" applyBorder="1" applyFont="1">
      <alignment vertical="bottom"/>
    </xf>
    <xf borderId="26" fillId="3" fontId="30" numFmtId="0" xfId="0" applyAlignment="1" applyBorder="1" applyFont="1">
      <alignment horizontal="center" vertical="bottom"/>
    </xf>
    <xf borderId="26" fillId="3" fontId="47" numFmtId="0" xfId="0" applyAlignment="1" applyBorder="1" applyFont="1">
      <alignment readingOrder="0" vertical="bottom"/>
    </xf>
    <xf borderId="28" fillId="3" fontId="28" numFmtId="0" xfId="0" applyAlignment="1" applyBorder="1" applyFont="1">
      <alignment horizontal="center" shrinkToFit="0" vertical="bottom" wrapText="1"/>
    </xf>
    <xf borderId="28" fillId="3" fontId="28" numFmtId="0" xfId="0" applyAlignment="1" applyBorder="1" applyFont="1">
      <alignment shrinkToFit="0" vertical="bottom" wrapText="1"/>
    </xf>
    <xf borderId="29" fillId="3" fontId="29" numFmtId="0" xfId="0" applyAlignment="1" applyBorder="1" applyFont="1">
      <alignment shrinkToFit="0" vertical="bottom" wrapText="1"/>
    </xf>
    <xf borderId="31" fillId="3" fontId="28" numFmtId="0" xfId="0" applyAlignment="1" applyBorder="1" applyFont="1">
      <alignment vertical="bottom"/>
    </xf>
    <xf borderId="31" fillId="3" fontId="28" numFmtId="0" xfId="0" applyAlignment="1" applyBorder="1" applyFont="1">
      <alignment horizontal="center" shrinkToFit="0" vertical="bottom" wrapText="1"/>
    </xf>
    <xf borderId="32" fillId="8" fontId="28" numFmtId="0" xfId="0" applyAlignment="1" applyBorder="1" applyFont="1">
      <alignment vertical="bottom"/>
    </xf>
    <xf borderId="31" fillId="8" fontId="28" numFmtId="0" xfId="0" applyAlignment="1" applyBorder="1" applyFont="1">
      <alignment vertical="bottom"/>
    </xf>
    <xf borderId="31" fillId="3" fontId="28" numFmtId="0" xfId="0" applyAlignment="1" applyBorder="1" applyFont="1">
      <alignment horizontal="right" shrinkToFit="0" vertical="bottom" wrapText="1"/>
    </xf>
    <xf borderId="31" fillId="3" fontId="86" numFmtId="0" xfId="0" applyAlignment="1" applyBorder="1" applyFont="1">
      <alignment shrinkToFit="0" vertical="bottom" wrapText="0"/>
    </xf>
    <xf borderId="31" fillId="3" fontId="28" numFmtId="0" xfId="0" applyAlignment="1" applyBorder="1" applyFont="1">
      <alignment shrinkToFit="0" vertical="bottom" wrapText="1"/>
    </xf>
    <xf borderId="29" fillId="3" fontId="29" numFmtId="0" xfId="0" applyAlignment="1" applyBorder="1" applyFont="1">
      <alignment vertical="bottom"/>
    </xf>
    <xf borderId="31" fillId="3" fontId="28" numFmtId="0" xfId="0" applyAlignment="1" applyBorder="1" applyFont="1">
      <alignment horizontal="center" vertical="bottom"/>
    </xf>
    <xf borderId="31" fillId="3" fontId="87" numFmtId="0" xfId="0" applyAlignment="1" applyBorder="1" applyFont="1">
      <alignment vertical="bottom"/>
    </xf>
    <xf borderId="29" fillId="3" fontId="29" numFmtId="0" xfId="0" applyAlignment="1" applyBorder="1" applyFont="1">
      <alignment vertical="bottom"/>
    </xf>
    <xf borderId="31" fillId="3" fontId="88" numFmtId="0" xfId="0" applyAlignment="1" applyBorder="1" applyFont="1">
      <alignment shrinkToFit="0" vertical="bottom" wrapText="0"/>
    </xf>
    <xf borderId="31" fillId="3" fontId="89" numFmtId="0" xfId="0" applyAlignment="1" applyBorder="1" applyFont="1">
      <alignment vertical="bottom"/>
    </xf>
    <xf borderId="26" fillId="3" fontId="28" numFmtId="0" xfId="0" applyAlignment="1" applyBorder="1" applyFont="1">
      <alignment readingOrder="0" vertical="bottom"/>
    </xf>
    <xf borderId="26" fillId="3" fontId="28" numFmtId="0" xfId="0" applyAlignment="1" applyBorder="1" applyFont="1">
      <alignment horizontal="right" vertical="bottom"/>
    </xf>
    <xf borderId="26" fillId="3" fontId="90" numFmtId="0" xfId="0" applyAlignment="1" applyBorder="1" applyFont="1">
      <alignment vertical="bottom"/>
    </xf>
    <xf borderId="26" fillId="3" fontId="30" numFmtId="0" xfId="0" applyAlignment="1" applyBorder="1" applyFont="1">
      <alignment horizontal="center" vertical="bottom"/>
    </xf>
    <xf borderId="0" fillId="3" fontId="91" numFmtId="0" xfId="0" applyAlignment="1" applyFont="1">
      <alignment vertical="bottom"/>
    </xf>
    <xf borderId="26" fillId="3" fontId="92" numFmtId="0" xfId="0" applyAlignment="1" applyBorder="1" applyFont="1">
      <alignment vertical="bottom"/>
    </xf>
    <xf borderId="29" fillId="3" fontId="2" numFmtId="0" xfId="0" applyAlignment="1" applyBorder="1" applyFont="1">
      <alignment shrinkToFit="0" wrapText="0"/>
    </xf>
    <xf borderId="0" fillId="0" fontId="28" numFmtId="0" xfId="0" applyAlignment="1" applyFont="1">
      <alignment horizontal="center" vertical="bottom"/>
    </xf>
    <xf borderId="26" fillId="3" fontId="93" numFmtId="0" xfId="0" applyAlignment="1" applyBorder="1" applyFont="1">
      <alignment vertical="bottom"/>
    </xf>
    <xf borderId="26" fillId="0" fontId="94" numFmtId="0" xfId="0" applyAlignment="1" applyBorder="1" applyFont="1">
      <alignment vertical="bottom"/>
    </xf>
    <xf borderId="26" fillId="3" fontId="63" numFmtId="0" xfId="0" applyAlignment="1" applyBorder="1" applyFont="1">
      <alignment vertical="bottom"/>
    </xf>
    <xf borderId="0" fillId="3" fontId="28" numFmtId="0" xfId="0" applyAlignment="1" applyFont="1">
      <alignment horizontal="center" vertical="bottom"/>
    </xf>
    <xf borderId="0" fillId="3" fontId="95" numFmtId="0" xfId="0" applyAlignment="1" applyFont="1">
      <alignment vertical="bottom"/>
    </xf>
    <xf borderId="0" fillId="3" fontId="28" numFmtId="0" xfId="0" applyAlignment="1" applyFont="1">
      <alignment vertical="bottom"/>
    </xf>
    <xf borderId="0" fillId="3" fontId="96" numFmtId="0" xfId="0" applyAlignment="1" applyFont="1">
      <alignment vertical="bottom"/>
    </xf>
    <xf borderId="0" fillId="3" fontId="97" numFmtId="0" xfId="0" applyAlignment="1" applyFont="1">
      <alignment vertical="bottom"/>
    </xf>
    <xf borderId="0" fillId="3" fontId="44" numFmtId="0" xfId="0" applyAlignment="1" applyFont="1">
      <alignment vertical="bottom"/>
    </xf>
    <xf borderId="0" fillId="3" fontId="98" numFmtId="0" xfId="0" applyAlignment="1" applyFont="1">
      <alignment shrinkToFit="0" vertical="bottom" wrapText="0"/>
    </xf>
    <xf borderId="0" fillId="0" fontId="99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0" fillId="3" fontId="100" numFmtId="0" xfId="0" applyAlignment="1" applyFont="1">
      <alignment shrinkToFit="0" vertical="bottom" wrapText="0"/>
    </xf>
    <xf borderId="3" fillId="3" fontId="29" numFmtId="0" xfId="0" applyAlignment="1" applyBorder="1" applyFont="1">
      <alignment vertical="bottom"/>
    </xf>
    <xf borderId="9" fillId="3" fontId="101" numFmtId="0" xfId="0" applyAlignment="1" applyBorder="1" applyFont="1">
      <alignment vertical="bottom"/>
    </xf>
    <xf borderId="3" fillId="3" fontId="28" numFmtId="0" xfId="0" applyAlignment="1" applyBorder="1" applyFont="1">
      <alignment vertical="bottom"/>
    </xf>
    <xf borderId="10" fillId="3" fontId="28" numFmtId="0" xfId="0" applyAlignment="1" applyBorder="1" applyFont="1">
      <alignment vertical="bottom"/>
    </xf>
    <xf borderId="3" fillId="3" fontId="28" numFmtId="0" xfId="0" applyAlignment="1" applyBorder="1" applyFont="1">
      <alignment vertical="bottom"/>
    </xf>
    <xf borderId="10" fillId="3" fontId="102" numFmtId="0" xfId="0" applyAlignment="1" applyBorder="1" applyFont="1">
      <alignment vertical="bottom"/>
    </xf>
    <xf borderId="0" fillId="3" fontId="29" numFmtId="0" xfId="0" applyAlignment="1" applyFont="1">
      <alignment shrinkToFit="0" vertical="bottom" wrapText="1"/>
    </xf>
    <xf borderId="0" fillId="3" fontId="28" numFmtId="0" xfId="0" applyAlignment="1" applyFont="1">
      <alignment horizontal="center" shrinkToFit="0" vertical="bottom" wrapText="1"/>
    </xf>
    <xf borderId="0" fillId="3" fontId="28" numFmtId="0" xfId="0" applyAlignment="1" applyFont="1">
      <alignment shrinkToFit="0" vertical="bottom" wrapText="1"/>
    </xf>
    <xf borderId="0" fillId="3" fontId="29" numFmtId="0" xfId="0" applyAlignment="1" applyFont="1">
      <alignment readingOrder="0" vertical="bottom"/>
    </xf>
    <xf borderId="0" fillId="3" fontId="93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3" fontId="56" numFmtId="0" xfId="0" applyAlignment="1" applyFont="1">
      <alignment vertical="bottom"/>
    </xf>
    <xf borderId="0" fillId="3" fontId="44" numFmtId="0" xfId="0" applyAlignment="1" applyFont="1">
      <alignment horizontal="center" vertical="bottom"/>
    </xf>
    <xf borderId="0" fillId="0" fontId="82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56" numFmtId="0" xfId="0" applyAlignment="1" applyFont="1">
      <alignment vertical="bottom"/>
    </xf>
    <xf borderId="0" fillId="0" fontId="103" numFmtId="0" xfId="0" applyAlignment="1" applyFont="1">
      <alignment shrinkToFit="0" vertical="bottom" wrapText="0"/>
    </xf>
    <xf borderId="0" fillId="0" fontId="104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29" numFmtId="0" xfId="0" applyAlignment="1" applyFont="1">
      <alignment shrinkToFit="0" vertical="bottom" wrapText="1"/>
    </xf>
    <xf borderId="0" fillId="0" fontId="28" numFmtId="0" xfId="0" applyAlignment="1" applyFont="1">
      <alignment horizontal="right" shrinkToFit="0" vertical="bottom" wrapText="1"/>
    </xf>
    <xf borderId="0" fillId="0" fontId="28" numFmtId="0" xfId="0" applyAlignment="1" applyFont="1">
      <alignment shrinkToFit="0" vertical="bottom" wrapText="1"/>
    </xf>
    <xf borderId="1" fillId="3" fontId="29" numFmtId="0" xfId="0" applyAlignment="1" applyBorder="1" applyFont="1">
      <alignment vertical="bottom"/>
    </xf>
    <xf borderId="7" fillId="3" fontId="105" numFmtId="0" xfId="0" applyAlignment="1" applyBorder="1" applyFont="1">
      <alignment vertical="bottom"/>
    </xf>
    <xf borderId="1" fillId="3" fontId="28" numFmtId="0" xfId="0" applyAlignment="1" applyBorder="1" applyFont="1">
      <alignment vertical="bottom"/>
    </xf>
    <xf borderId="8" fillId="8" fontId="28" numFmtId="0" xfId="0" applyAlignment="1" applyBorder="1" applyFont="1">
      <alignment vertical="bottom"/>
    </xf>
    <xf borderId="26" fillId="3" fontId="106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8">
    <tableStyle count="2" pivot="0" name="Активисты-style">
      <tableStyleElement dxfId="1" type="firstRowStripe"/>
      <tableStyleElement dxfId="2" type="secondRowStripe"/>
    </tableStyle>
    <tableStyle count="2" pivot="0" name="Активисты-style 2">
      <tableStyleElement dxfId="1" type="firstRowStripe"/>
      <tableStyleElement dxfId="2" type="secondRowStripe"/>
    </tableStyle>
    <tableStyle count="2" pivot="0" name="Активисты-style 3">
      <tableStyleElement dxfId="1" type="firstRowStripe"/>
      <tableStyleElement dxfId="2" type="secondRowStripe"/>
    </tableStyle>
    <tableStyle count="2" pivot="0" name="Активисты-style 4">
      <tableStyleElement dxfId="1" type="firstRowStripe"/>
      <tableStyleElement dxfId="2" type="secondRowStripe"/>
    </tableStyle>
    <tableStyle count="2" pivot="0" name="Активисты-style 5">
      <tableStyleElement dxfId="1" type="firstRowStripe"/>
      <tableStyleElement dxfId="2" type="secondRowStripe"/>
    </tableStyle>
    <tableStyle count="2" pivot="0" name="Списки блоков-style">
      <tableStyleElement dxfId="2" type="firstRowStripe"/>
      <tableStyleElement dxfId="1" type="secondRowStripe"/>
    </tableStyle>
    <tableStyle count="2" pivot="0" name="Списки блоков-style 2">
      <tableStyleElement dxfId="1" type="firstRowStripe"/>
      <tableStyleElement dxfId="2" type="secondRowStripe"/>
    </tableStyle>
    <tableStyle count="2" pivot="0" name="Списки блоков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94" displayName="Table_1" name="Table_1" id="1">
  <tableColumns count="2">
    <tableColumn name="Column1" id="1"/>
    <tableColumn name="Column2" id="2"/>
  </tableColumns>
  <tableStyleInfo name="Активисты-style" showColumnStripes="0" showFirstColumn="1" showLastColumn="1" showRowStripes="1"/>
</table>
</file>

<file path=xl/tables/table2.xml><?xml version="1.0" encoding="utf-8"?>
<table xmlns="http://schemas.openxmlformats.org/spreadsheetml/2006/main" headerRowCount="0" ref="C2:E94" displayName="Table_2" name="Table_2" id="2">
  <tableColumns count="3">
    <tableColumn name="Column1" id="1"/>
    <tableColumn name="Column2" id="2"/>
    <tableColumn name="Column3" id="3"/>
  </tableColumns>
  <tableStyleInfo name="Активисты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J94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Активисты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5:J142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Активисты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43:J152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Активисты-style 5" showColumnStripes="0" showFirstColumn="1" showLastColumn="1" showRowStripes="1"/>
</table>
</file>

<file path=xl/tables/table6.xml><?xml version="1.0" encoding="utf-8"?>
<table xmlns="http://schemas.openxmlformats.org/spreadsheetml/2006/main" headerRowCount="0" ref="Q5:Q8" displayName="Table_6" name="Table_6" id="6">
  <tableColumns count="1">
    <tableColumn name="Column1" id="1"/>
  </tableColumns>
  <tableStyleInfo name="Списки блоков-style" showColumnStripes="0" showFirstColumn="1" showLastColumn="1" showRowStripes="1"/>
</table>
</file>

<file path=xl/tables/table7.xml><?xml version="1.0" encoding="utf-8"?>
<table xmlns="http://schemas.openxmlformats.org/spreadsheetml/2006/main" headerRowCount="0" ref="O12:O39" displayName="Table_7" name="Table_7" id="7">
  <tableColumns count="1">
    <tableColumn name="Column1" id="1"/>
  </tableColumns>
  <tableStyleInfo name="Списки блоков-style 2" showColumnStripes="0" showFirstColumn="1" showLastColumn="1" showRowStripes="1"/>
</table>
</file>

<file path=xl/tables/table8.xml><?xml version="1.0" encoding="utf-8"?>
<table xmlns="http://schemas.openxmlformats.org/spreadsheetml/2006/main" headerRowCount="0" ref="O47:O50" displayName="Table_8" name="Table_8" id="8">
  <tableColumns count="1">
    <tableColumn name="Column1" id="1"/>
  </tableColumns>
  <tableStyleInfo name="Списки блоков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k.com/inochinikirawareteiru" TargetMode="External"/><Relationship Id="rId42" Type="http://schemas.openxmlformats.org/officeDocument/2006/relationships/hyperlink" Target="https://m.vk.com/evgen.elesin" TargetMode="External"/><Relationship Id="rId41" Type="http://schemas.openxmlformats.org/officeDocument/2006/relationships/hyperlink" Target="http://t.me/not_ksesha" TargetMode="External"/><Relationship Id="rId44" Type="http://schemas.openxmlformats.org/officeDocument/2006/relationships/hyperlink" Target="https://t.me/rise13167" TargetMode="External"/><Relationship Id="rId43" Type="http://schemas.openxmlformats.org/officeDocument/2006/relationships/hyperlink" Target="https://vk.com/rise13167" TargetMode="External"/><Relationship Id="rId46" Type="http://schemas.openxmlformats.org/officeDocument/2006/relationships/hyperlink" Target="http://vk.com/natttttttttttt" TargetMode="External"/><Relationship Id="rId45" Type="http://schemas.openxmlformats.org/officeDocument/2006/relationships/hyperlink" Target="https://vk.com/little.dragonn" TargetMode="External"/><Relationship Id="rId48" Type="http://schemas.openxmlformats.org/officeDocument/2006/relationships/hyperlink" Target="https://vk.com/svetazhurr" TargetMode="External"/><Relationship Id="rId187" Type="http://schemas.openxmlformats.org/officeDocument/2006/relationships/hyperlink" Target="http://vk.com/y.pavel" TargetMode="External"/><Relationship Id="rId47" Type="http://schemas.openxmlformats.org/officeDocument/2006/relationships/hyperlink" Target="http://vk.com/redden19" TargetMode="External"/><Relationship Id="rId186" Type="http://schemas.openxmlformats.org/officeDocument/2006/relationships/hyperlink" Target="https://vk.com/goshashchet" TargetMode="External"/><Relationship Id="rId185" Type="http://schemas.openxmlformats.org/officeDocument/2006/relationships/hyperlink" Target="https://vk.com/id646255946" TargetMode="External"/><Relationship Id="rId49" Type="http://schemas.openxmlformats.org/officeDocument/2006/relationships/hyperlink" Target="https://vk.com/daniilzagatin" TargetMode="External"/><Relationship Id="rId184" Type="http://schemas.openxmlformats.org/officeDocument/2006/relationships/hyperlink" Target="https://vk.com/yanichegoneponimat" TargetMode="External"/><Relationship Id="rId189" Type="http://schemas.openxmlformats.org/officeDocument/2006/relationships/drawing" Target="../drawings/drawing1.xml"/><Relationship Id="rId188" Type="http://schemas.openxmlformats.org/officeDocument/2006/relationships/hyperlink" Target="http://t.me/yulov_pav" TargetMode="External"/><Relationship Id="rId31" Type="http://schemas.openxmlformats.org/officeDocument/2006/relationships/hyperlink" Target="https://t.me/V_Arterics" TargetMode="External"/><Relationship Id="rId30" Type="http://schemas.openxmlformats.org/officeDocument/2006/relationships/hyperlink" Target="https://vk.com/arterics" TargetMode="External"/><Relationship Id="rId33" Type="http://schemas.openxmlformats.org/officeDocument/2006/relationships/hyperlink" Target="http://t.me/matvec21" TargetMode="External"/><Relationship Id="rId183" Type="http://schemas.openxmlformats.org/officeDocument/2006/relationships/hyperlink" Target="http://t.me/Di_shr" TargetMode="External"/><Relationship Id="rId32" Type="http://schemas.openxmlformats.org/officeDocument/2006/relationships/hyperlink" Target="http://vk.com/matvec21" TargetMode="External"/><Relationship Id="rId182" Type="http://schemas.openxmlformats.org/officeDocument/2006/relationships/hyperlink" Target="https://vk.com/id599683767" TargetMode="External"/><Relationship Id="rId35" Type="http://schemas.openxmlformats.org/officeDocument/2006/relationships/hyperlink" Target="https://vk.com/ownage17" TargetMode="External"/><Relationship Id="rId181" Type="http://schemas.openxmlformats.org/officeDocument/2006/relationships/hyperlink" Target="https://t.me/Chuvpilo_Alexander" TargetMode="External"/><Relationship Id="rId34" Type="http://schemas.openxmlformats.org/officeDocument/2006/relationships/hyperlink" Target="https://vk.com/a.glu2005" TargetMode="External"/><Relationship Id="rId180" Type="http://schemas.openxmlformats.org/officeDocument/2006/relationships/hyperlink" Target="https://vk.com/id539139404" TargetMode="External"/><Relationship Id="rId37" Type="http://schemas.openxmlformats.org/officeDocument/2006/relationships/hyperlink" Target="https://vk.com/zoyagurtovaya" TargetMode="External"/><Relationship Id="rId176" Type="http://schemas.openxmlformats.org/officeDocument/2006/relationships/hyperlink" Target="http://vk.com/orange_ju1ce" TargetMode="External"/><Relationship Id="rId36" Type="http://schemas.openxmlformats.org/officeDocument/2006/relationships/hyperlink" Target="https://vk.com/rCronus" TargetMode="External"/><Relationship Id="rId175" Type="http://schemas.openxmlformats.org/officeDocument/2006/relationships/hyperlink" Target="http://vk.com/orange_ju1ce" TargetMode="External"/><Relationship Id="rId39" Type="http://schemas.openxmlformats.org/officeDocument/2006/relationships/hyperlink" Target="https://vk.com/vovagramm" TargetMode="External"/><Relationship Id="rId174" Type="http://schemas.openxmlformats.org/officeDocument/2006/relationships/hyperlink" Target="https://vk.com/ulfrolova" TargetMode="External"/><Relationship Id="rId38" Type="http://schemas.openxmlformats.org/officeDocument/2006/relationships/hyperlink" Target="https://vk.com/i_d0nt_care_at_all" TargetMode="External"/><Relationship Id="rId173" Type="http://schemas.openxmlformats.org/officeDocument/2006/relationships/hyperlink" Target="https://vk.com/olyansssk" TargetMode="External"/><Relationship Id="rId179" Type="http://schemas.openxmlformats.org/officeDocument/2006/relationships/hyperlink" Target="https://vk.com/pos5sup" TargetMode="External"/><Relationship Id="rId178" Type="http://schemas.openxmlformats.org/officeDocument/2006/relationships/hyperlink" Target="https://vk.com/chill_ts" TargetMode="External"/><Relationship Id="rId177" Type="http://schemas.openxmlformats.org/officeDocument/2006/relationships/hyperlink" Target="https://vk.com/fortunat" TargetMode="External"/><Relationship Id="rId20" Type="http://schemas.openxmlformats.org/officeDocument/2006/relationships/hyperlink" Target="https://t.me/whatatimetobe_alive" TargetMode="External"/><Relationship Id="rId22" Type="http://schemas.openxmlformats.org/officeDocument/2006/relationships/hyperlink" Target="https://vk.ru/id349973300" TargetMode="External"/><Relationship Id="rId21" Type="http://schemas.openxmlformats.org/officeDocument/2006/relationships/hyperlink" Target="https://vk.com/fafiuli" TargetMode="External"/><Relationship Id="rId24" Type="http://schemas.openxmlformats.org/officeDocument/2006/relationships/hyperlink" Target="https://vk.com/pochtichekhov" TargetMode="External"/><Relationship Id="rId23" Type="http://schemas.openxmlformats.org/officeDocument/2006/relationships/hyperlink" Target="http://t.me/bsofaa" TargetMode="External"/><Relationship Id="rId26" Type="http://schemas.openxmlformats.org/officeDocument/2006/relationships/hyperlink" Target="https://t.me/radmyaus" TargetMode="External"/><Relationship Id="rId25" Type="http://schemas.openxmlformats.org/officeDocument/2006/relationships/hyperlink" Target="https://vk.com/joyoftheworld" TargetMode="External"/><Relationship Id="rId28" Type="http://schemas.openxmlformats.org/officeDocument/2006/relationships/hyperlink" Target="https://vk.com/winesm0ker" TargetMode="External"/><Relationship Id="rId27" Type="http://schemas.openxmlformats.org/officeDocument/2006/relationships/hyperlink" Target="https://vk.com/endrezza" TargetMode="External"/><Relationship Id="rId29" Type="http://schemas.openxmlformats.org/officeDocument/2006/relationships/hyperlink" Target="https://vk.com/vozhgar" TargetMode="External"/><Relationship Id="rId11" Type="http://schemas.openxmlformats.org/officeDocument/2006/relationships/hyperlink" Target="https://vk.com/id392290846" TargetMode="External"/><Relationship Id="rId10" Type="http://schemas.openxmlformats.org/officeDocument/2006/relationships/hyperlink" Target="http://t.me/sch_in_in" TargetMode="External"/><Relationship Id="rId13" Type="http://schemas.openxmlformats.org/officeDocument/2006/relationships/hyperlink" Target="https://t.me/allaristova" TargetMode="External"/><Relationship Id="rId12" Type="http://schemas.openxmlformats.org/officeDocument/2006/relationships/hyperlink" Target="https://vk.com/allaristova" TargetMode="External"/><Relationship Id="rId15" Type="http://schemas.openxmlformats.org/officeDocument/2006/relationships/hyperlink" Target="https://vk.ru/id557684195" TargetMode="External"/><Relationship Id="rId198" Type="http://schemas.openxmlformats.org/officeDocument/2006/relationships/table" Target="../tables/table4.xml"/><Relationship Id="rId14" Type="http://schemas.openxmlformats.org/officeDocument/2006/relationships/hyperlink" Target="https://vk.com/govna_pocket" TargetMode="External"/><Relationship Id="rId197" Type="http://schemas.openxmlformats.org/officeDocument/2006/relationships/table" Target="../tables/table3.xml"/><Relationship Id="rId17" Type="http://schemas.openxmlformats.org/officeDocument/2006/relationships/hyperlink" Target="https://vk.com/pbedrin" TargetMode="External"/><Relationship Id="rId196" Type="http://schemas.openxmlformats.org/officeDocument/2006/relationships/table" Target="../tables/table2.xml"/><Relationship Id="rId16" Type="http://schemas.openxmlformats.org/officeDocument/2006/relationships/hyperlink" Target="https://t.me/Finin1" TargetMode="External"/><Relationship Id="rId195" Type="http://schemas.openxmlformats.org/officeDocument/2006/relationships/table" Target="../tables/table1.xml"/><Relationship Id="rId19" Type="http://schemas.openxmlformats.org/officeDocument/2006/relationships/hyperlink" Target="https://vk.com/pmcvmk" TargetMode="External"/><Relationship Id="rId18" Type="http://schemas.openxmlformats.org/officeDocument/2006/relationships/hyperlink" Target="https://t.me/pbedrin" TargetMode="External"/><Relationship Id="rId199" Type="http://schemas.openxmlformats.org/officeDocument/2006/relationships/table" Target="../tables/table5.xml"/><Relationship Id="rId84" Type="http://schemas.openxmlformats.org/officeDocument/2006/relationships/hyperlink" Target="http://t.me/Kunitsky_23" TargetMode="External"/><Relationship Id="rId83" Type="http://schemas.openxmlformats.org/officeDocument/2006/relationships/hyperlink" Target="https://vk.ru/kunitskiy_7" TargetMode="External"/><Relationship Id="rId86" Type="http://schemas.openxmlformats.org/officeDocument/2006/relationships/hyperlink" Target="https://t.me/Vakuraeva" TargetMode="External"/><Relationship Id="rId85" Type="http://schemas.openxmlformats.org/officeDocument/2006/relationships/hyperlink" Target="https://vk.com/klevoeimmya" TargetMode="External"/><Relationship Id="rId88" Type="http://schemas.openxmlformats.org/officeDocument/2006/relationships/hyperlink" Target="https://t.me/ARSLANKU" TargetMode="External"/><Relationship Id="rId150" Type="http://schemas.openxmlformats.org/officeDocument/2006/relationships/hyperlink" Target="https://vk.com/saakyangrant" TargetMode="External"/><Relationship Id="rId87" Type="http://schemas.openxmlformats.org/officeDocument/2006/relationships/hyperlink" Target="https://vk.com/ars4iko" TargetMode="External"/><Relationship Id="rId89" Type="http://schemas.openxmlformats.org/officeDocument/2006/relationships/hyperlink" Target="https://vk.com/p.volokusha" TargetMode="External"/><Relationship Id="rId80" Type="http://schemas.openxmlformats.org/officeDocument/2006/relationships/hyperlink" Target="https://vk.com/domovenokkkuzya" TargetMode="External"/><Relationship Id="rId82" Type="http://schemas.openxmlformats.org/officeDocument/2006/relationships/hyperlink" Target="https://t.me/artkul204" TargetMode="External"/><Relationship Id="rId81" Type="http://schemas.openxmlformats.org/officeDocument/2006/relationships/hyperlink" Target="https://vk.com/kulikov_artem204" TargetMode="External"/><Relationship Id="rId1" Type="http://schemas.openxmlformats.org/officeDocument/2006/relationships/hyperlink" Target="https://vk.com/aksel2" TargetMode="External"/><Relationship Id="rId2" Type="http://schemas.openxmlformats.org/officeDocument/2006/relationships/hyperlink" Target="http://t.me/aksel2" TargetMode="External"/><Relationship Id="rId3" Type="http://schemas.openxmlformats.org/officeDocument/2006/relationships/hyperlink" Target="https://vk.com/vrodealyona" TargetMode="External"/><Relationship Id="rId149" Type="http://schemas.openxmlformats.org/officeDocument/2006/relationships/hyperlink" Target="http://t.me/Rostendrigs" TargetMode="External"/><Relationship Id="rId4" Type="http://schemas.openxmlformats.org/officeDocument/2006/relationships/hyperlink" Target="https://vk.com/olenenok1108" TargetMode="External"/><Relationship Id="rId148" Type="http://schemas.openxmlformats.org/officeDocument/2006/relationships/hyperlink" Target="https://vk.com/diceholder" TargetMode="External"/><Relationship Id="rId9" Type="http://schemas.openxmlformats.org/officeDocument/2006/relationships/hyperlink" Target="https://vk.com/sch__in" TargetMode="External"/><Relationship Id="rId143" Type="http://schemas.openxmlformats.org/officeDocument/2006/relationships/hyperlink" Target="https://vk.ru/masha_lw" TargetMode="External"/><Relationship Id="rId142" Type="http://schemas.openxmlformats.org/officeDocument/2006/relationships/hyperlink" Target="https://vk.com/renkasvmk" TargetMode="External"/><Relationship Id="rId141" Type="http://schemas.openxmlformats.org/officeDocument/2006/relationships/hyperlink" Target="http://t.me/razumova_lb" TargetMode="External"/><Relationship Id="rId140" Type="http://schemas.openxmlformats.org/officeDocument/2006/relationships/hyperlink" Target="https://vk.com/b.a.lyu_r" TargetMode="External"/><Relationship Id="rId5" Type="http://schemas.openxmlformats.org/officeDocument/2006/relationships/hyperlink" Target="http://t.me/Alionka1108" TargetMode="External"/><Relationship Id="rId147" Type="http://schemas.openxmlformats.org/officeDocument/2006/relationships/hyperlink" Target="https://vk.com/ananastasiar" TargetMode="External"/><Relationship Id="rId6" Type="http://schemas.openxmlformats.org/officeDocument/2006/relationships/hyperlink" Target="https://vk.com/id246208831" TargetMode="External"/><Relationship Id="rId146" Type="http://schemas.openxmlformats.org/officeDocument/2006/relationships/hyperlink" Target="https://vk.com/deathtosinners" TargetMode="External"/><Relationship Id="rId7" Type="http://schemas.openxmlformats.org/officeDocument/2006/relationships/hyperlink" Target="https://t.me/lev_alterman" TargetMode="External"/><Relationship Id="rId145" Type="http://schemas.openxmlformats.org/officeDocument/2006/relationships/hyperlink" Target="https://vk.com/darkmtl" TargetMode="External"/><Relationship Id="rId8" Type="http://schemas.openxmlformats.org/officeDocument/2006/relationships/hyperlink" Target="https://vk.com/id819691181" TargetMode="External"/><Relationship Id="rId144" Type="http://schemas.openxmlformats.org/officeDocument/2006/relationships/hyperlink" Target="https://t.me/masha_lw" TargetMode="External"/><Relationship Id="rId73" Type="http://schemas.openxmlformats.org/officeDocument/2006/relationships/hyperlink" Target="https://vk.com/whoami07" TargetMode="External"/><Relationship Id="rId72" Type="http://schemas.openxmlformats.org/officeDocument/2006/relationships/hyperlink" Target="http://t.me/mariakorobkina" TargetMode="External"/><Relationship Id="rId75" Type="http://schemas.openxmlformats.org/officeDocument/2006/relationships/hyperlink" Target="https://vk.com/xddtzxaa" TargetMode="External"/><Relationship Id="rId74" Type="http://schemas.openxmlformats.org/officeDocument/2006/relationships/hyperlink" Target="http://t.me/an_kto" TargetMode="External"/><Relationship Id="rId77" Type="http://schemas.openxmlformats.org/officeDocument/2006/relationships/hyperlink" Target="http://vk.com/papa_katsuu" TargetMode="External"/><Relationship Id="rId76" Type="http://schemas.openxmlformats.org/officeDocument/2006/relationships/hyperlink" Target="https://vk.com/margokoch" TargetMode="External"/><Relationship Id="rId79" Type="http://schemas.openxmlformats.org/officeDocument/2006/relationships/hyperlink" Target="https://vk.com/astvic" TargetMode="External"/><Relationship Id="rId78" Type="http://schemas.openxmlformats.org/officeDocument/2006/relationships/hyperlink" Target="http://t.me/marr0xx" TargetMode="External"/><Relationship Id="rId71" Type="http://schemas.openxmlformats.org/officeDocument/2006/relationships/hyperlink" Target="https://vk.com/k.mariette" TargetMode="External"/><Relationship Id="rId70" Type="http://schemas.openxmlformats.org/officeDocument/2006/relationships/hyperlink" Target="https://t.me/EvaWinter_k" TargetMode="External"/><Relationship Id="rId139" Type="http://schemas.openxmlformats.org/officeDocument/2006/relationships/hyperlink" Target="https://vk.com/opoz0n" TargetMode="External"/><Relationship Id="rId138" Type="http://schemas.openxmlformats.org/officeDocument/2006/relationships/hyperlink" Target="http://t.me/pdaniil178" TargetMode="External"/><Relationship Id="rId137" Type="http://schemas.openxmlformats.org/officeDocument/2006/relationships/hyperlink" Target="http://vk.com/pdaniil178" TargetMode="External"/><Relationship Id="rId132" Type="http://schemas.openxmlformats.org/officeDocument/2006/relationships/hyperlink" Target="https://vk.com/id593749334" TargetMode="External"/><Relationship Id="rId131" Type="http://schemas.openxmlformats.org/officeDocument/2006/relationships/hyperlink" Target="https://vk.com/aka_pesok" TargetMode="External"/><Relationship Id="rId130" Type="http://schemas.openxmlformats.org/officeDocument/2006/relationships/hyperlink" Target="https://vk.com/vickydoll" TargetMode="External"/><Relationship Id="rId136" Type="http://schemas.openxmlformats.org/officeDocument/2006/relationships/hyperlink" Target="http://t.me/Sergey_Poltorak" TargetMode="External"/><Relationship Id="rId135" Type="http://schemas.openxmlformats.org/officeDocument/2006/relationships/hyperlink" Target="http://vk.com/sergeypltrk" TargetMode="External"/><Relationship Id="rId134" Type="http://schemas.openxmlformats.org/officeDocument/2006/relationships/hyperlink" Target="http://t.me/pardee_sss" TargetMode="External"/><Relationship Id="rId133" Type="http://schemas.openxmlformats.org/officeDocument/2006/relationships/hyperlink" Target="https://vk.com/pardee" TargetMode="External"/><Relationship Id="rId62" Type="http://schemas.openxmlformats.org/officeDocument/2006/relationships/hyperlink" Target="https://t.me/kasmaxim" TargetMode="External"/><Relationship Id="rId61" Type="http://schemas.openxmlformats.org/officeDocument/2006/relationships/hyperlink" Target="https://vk.ru/kasmaxim" TargetMode="External"/><Relationship Id="rId64" Type="http://schemas.openxmlformats.org/officeDocument/2006/relationships/hyperlink" Target="https://vk.com/margarita.kizl" TargetMode="External"/><Relationship Id="rId63" Type="http://schemas.openxmlformats.org/officeDocument/2006/relationships/hyperlink" Target="https://vk.com/nuxai_bebrur" TargetMode="External"/><Relationship Id="rId66" Type="http://schemas.openxmlformats.org/officeDocument/2006/relationships/hyperlink" Target="https://vk.com/obitelmashaka" TargetMode="External"/><Relationship Id="rId172" Type="http://schemas.openxmlformats.org/officeDocument/2006/relationships/hyperlink" Target="http://t.me/Bondystar" TargetMode="External"/><Relationship Id="rId65" Type="http://schemas.openxmlformats.org/officeDocument/2006/relationships/hyperlink" Target="https://vk.com/m1sh2ka" TargetMode="External"/><Relationship Id="rId171" Type="http://schemas.openxmlformats.org/officeDocument/2006/relationships/hyperlink" Target="https://vk.com/star_bond" TargetMode="External"/><Relationship Id="rId68" Type="http://schemas.openxmlformats.org/officeDocument/2006/relationships/hyperlink" Target="https://vk.com/a.sashka123" TargetMode="External"/><Relationship Id="rId170" Type="http://schemas.openxmlformats.org/officeDocument/2006/relationships/hyperlink" Target="https://vk.com/olteff" TargetMode="External"/><Relationship Id="rId67" Type="http://schemas.openxmlformats.org/officeDocument/2006/relationships/hyperlink" Target="https://vk.com/kokorevpp" TargetMode="External"/><Relationship Id="rId60" Type="http://schemas.openxmlformats.org/officeDocument/2006/relationships/hyperlink" Target="http://t.me/mccfluriee" TargetMode="External"/><Relationship Id="rId165" Type="http://schemas.openxmlformats.org/officeDocument/2006/relationships/hyperlink" Target="https://vk.com/programmer_owl" TargetMode="External"/><Relationship Id="rId69" Type="http://schemas.openxmlformats.org/officeDocument/2006/relationships/hyperlink" Target="https://vk.com/evawinter_k" TargetMode="External"/><Relationship Id="rId164" Type="http://schemas.openxmlformats.org/officeDocument/2006/relationships/hyperlink" Target="https://vk.com/ktkyhtam" TargetMode="External"/><Relationship Id="rId163" Type="http://schemas.openxmlformats.org/officeDocument/2006/relationships/hyperlink" Target="http://t.me/skoliriant" TargetMode="External"/><Relationship Id="rId162" Type="http://schemas.openxmlformats.org/officeDocument/2006/relationships/hyperlink" Target="https://vk.com/skoliriant" TargetMode="External"/><Relationship Id="rId169" Type="http://schemas.openxmlformats.org/officeDocument/2006/relationships/hyperlink" Target="https://vk.com/uliana_jane" TargetMode="External"/><Relationship Id="rId168" Type="http://schemas.openxmlformats.org/officeDocument/2006/relationships/hyperlink" Target="https://t.me/geniymover" TargetMode="External"/><Relationship Id="rId167" Type="http://schemas.openxmlformats.org/officeDocument/2006/relationships/hyperlink" Target="https://vk.com/tualetniy_ytenok" TargetMode="External"/><Relationship Id="rId166" Type="http://schemas.openxmlformats.org/officeDocument/2006/relationships/hyperlink" Target="http://t.me/FukuroM" TargetMode="External"/><Relationship Id="rId51" Type="http://schemas.openxmlformats.org/officeDocument/2006/relationships/hyperlink" Target="http://vk.com/jazzazello" TargetMode="External"/><Relationship Id="rId50" Type="http://schemas.openxmlformats.org/officeDocument/2006/relationships/hyperlink" Target="http://t.me/ZagatinDaniil" TargetMode="External"/><Relationship Id="rId53" Type="http://schemas.openxmlformats.org/officeDocument/2006/relationships/hyperlink" Target="https://vk.com/id124408879" TargetMode="External"/><Relationship Id="rId52" Type="http://schemas.openxmlformats.org/officeDocument/2006/relationships/hyperlink" Target="http://t.me/jazzazello" TargetMode="External"/><Relationship Id="rId55" Type="http://schemas.openxmlformats.org/officeDocument/2006/relationships/hyperlink" Target="https://vk.com/mmmzoro" TargetMode="External"/><Relationship Id="rId161" Type="http://schemas.openxmlformats.org/officeDocument/2006/relationships/hyperlink" Target="http://t.me/staf_ka04" TargetMode="External"/><Relationship Id="rId54" Type="http://schemas.openxmlformats.org/officeDocument/2006/relationships/hyperlink" Target="https://vk.com/id557099009" TargetMode="External"/><Relationship Id="rId160" Type="http://schemas.openxmlformats.org/officeDocument/2006/relationships/hyperlink" Target="https://vk.com/s.a.f3141592" TargetMode="External"/><Relationship Id="rId57" Type="http://schemas.openxmlformats.org/officeDocument/2006/relationships/hyperlink" Target="https://vk.com/veronika.great" TargetMode="External"/><Relationship Id="rId56" Type="http://schemas.openxmlformats.org/officeDocument/2006/relationships/hyperlink" Target="https://t.me/z30rro" TargetMode="External"/><Relationship Id="rId159" Type="http://schemas.openxmlformats.org/officeDocument/2006/relationships/hyperlink" Target="https://t.me/michaell5s" TargetMode="External"/><Relationship Id="rId59" Type="http://schemas.openxmlformats.org/officeDocument/2006/relationships/hyperlink" Target="https://vk.com/id332309086" TargetMode="External"/><Relationship Id="rId154" Type="http://schemas.openxmlformats.org/officeDocument/2006/relationships/hyperlink" Target="http://t.me/ostrovushka" TargetMode="External"/><Relationship Id="rId58" Type="http://schemas.openxmlformats.org/officeDocument/2006/relationships/hyperlink" Target="https://vk.com/universe103" TargetMode="External"/><Relationship Id="rId153" Type="http://schemas.openxmlformats.org/officeDocument/2006/relationships/hyperlink" Target="https://vk.com/ostrovushkolli" TargetMode="External"/><Relationship Id="rId152" Type="http://schemas.openxmlformats.org/officeDocument/2006/relationships/hyperlink" Target="https://vk.com/tyzvrykave" TargetMode="External"/><Relationship Id="rId151" Type="http://schemas.openxmlformats.org/officeDocument/2006/relationships/hyperlink" Target="https://vk.com/id671758971" TargetMode="External"/><Relationship Id="rId158" Type="http://schemas.openxmlformats.org/officeDocument/2006/relationships/hyperlink" Target="https://vk.com/michael5s" TargetMode="External"/><Relationship Id="rId157" Type="http://schemas.openxmlformats.org/officeDocument/2006/relationships/hyperlink" Target="https://vk.com/d.slobodin2013" TargetMode="External"/><Relationship Id="rId156" Type="http://schemas.openxmlformats.org/officeDocument/2006/relationships/hyperlink" Target="https://vk.com/sk0tnik0va" TargetMode="External"/><Relationship Id="rId155" Type="http://schemas.openxmlformats.org/officeDocument/2006/relationships/hyperlink" Target="https://vk.com/skalenko0" TargetMode="External"/><Relationship Id="rId107" Type="http://schemas.openxmlformats.org/officeDocument/2006/relationships/hyperlink" Target="https://vk.com/typapypaa" TargetMode="External"/><Relationship Id="rId106" Type="http://schemas.openxmlformats.org/officeDocument/2006/relationships/hyperlink" Target="http://vk.com/mitand13" TargetMode="External"/><Relationship Id="rId105" Type="http://schemas.openxmlformats.org/officeDocument/2006/relationships/hyperlink" Target="https://vk.com/lisaminko" TargetMode="External"/><Relationship Id="rId104" Type="http://schemas.openxmlformats.org/officeDocument/2006/relationships/hyperlink" Target="http://t.me/LevMel" TargetMode="External"/><Relationship Id="rId109" Type="http://schemas.openxmlformats.org/officeDocument/2006/relationships/hyperlink" Target="https://vk.com/aleks_mozzhukhin" TargetMode="External"/><Relationship Id="rId108" Type="http://schemas.openxmlformats.org/officeDocument/2006/relationships/hyperlink" Target="https://t.me/typapypaa" TargetMode="External"/><Relationship Id="rId103" Type="http://schemas.openxmlformats.org/officeDocument/2006/relationships/hyperlink" Target="https://vk.com/levmeld" TargetMode="External"/><Relationship Id="rId102" Type="http://schemas.openxmlformats.org/officeDocument/2006/relationships/hyperlink" Target="https://vk.com/varanm" TargetMode="External"/><Relationship Id="rId101" Type="http://schemas.openxmlformats.org/officeDocument/2006/relationships/hyperlink" Target="http://t.me/usamstudent" TargetMode="External"/><Relationship Id="rId100" Type="http://schemas.openxmlformats.org/officeDocument/2006/relationships/hyperlink" Target="http://vk.com/your_dark_halfy" TargetMode="External"/><Relationship Id="rId129" Type="http://schemas.openxmlformats.org/officeDocument/2006/relationships/hyperlink" Target="https://t.me/ttenkos" TargetMode="External"/><Relationship Id="rId128" Type="http://schemas.openxmlformats.org/officeDocument/2006/relationships/hyperlink" Target="https://m.vk.com/fairiefaiza" TargetMode="External"/><Relationship Id="rId127" Type="http://schemas.openxmlformats.org/officeDocument/2006/relationships/hyperlink" Target="https://vk.com/dimpank" TargetMode="External"/><Relationship Id="rId126" Type="http://schemas.openxmlformats.org/officeDocument/2006/relationships/hyperlink" Target="https://t.me/parapaparu" TargetMode="External"/><Relationship Id="rId121" Type="http://schemas.openxmlformats.org/officeDocument/2006/relationships/hyperlink" Target="http://t.me/sofyaovsyannikova" TargetMode="External"/><Relationship Id="rId120" Type="http://schemas.openxmlformats.org/officeDocument/2006/relationships/hyperlink" Target="https://vk.com/justosa" TargetMode="External"/><Relationship Id="rId125" Type="http://schemas.openxmlformats.org/officeDocument/2006/relationships/hyperlink" Target="https://vk.com/parapaparu" TargetMode="External"/><Relationship Id="rId124" Type="http://schemas.openxmlformats.org/officeDocument/2006/relationships/hyperlink" Target="https://t.me/sulikcs" TargetMode="External"/><Relationship Id="rId123" Type="http://schemas.openxmlformats.org/officeDocument/2006/relationships/hyperlink" Target="https://vk.com/sulikcs" TargetMode="External"/><Relationship Id="rId122" Type="http://schemas.openxmlformats.org/officeDocument/2006/relationships/hyperlink" Target="https://vk.com/o.vladisluvv" TargetMode="External"/><Relationship Id="rId95" Type="http://schemas.openxmlformats.org/officeDocument/2006/relationships/hyperlink" Target="https://vk.com/maria_logg" TargetMode="External"/><Relationship Id="rId94" Type="http://schemas.openxmlformats.org/officeDocument/2006/relationships/hyperlink" Target="http://vk.com/lebeda_vanya" TargetMode="External"/><Relationship Id="rId97" Type="http://schemas.openxmlformats.org/officeDocument/2006/relationships/hyperlink" Target="https://t.me/luma_07" TargetMode="External"/><Relationship Id="rId96" Type="http://schemas.openxmlformats.org/officeDocument/2006/relationships/hyperlink" Target="https://vk.com/luma_07" TargetMode="External"/><Relationship Id="rId99" Type="http://schemas.openxmlformats.org/officeDocument/2006/relationships/hyperlink" Target="https://vk.com/v1sp1" TargetMode="External"/><Relationship Id="rId98" Type="http://schemas.openxmlformats.org/officeDocument/2006/relationships/hyperlink" Target="https://vk.com/id_qween_sarkazm" TargetMode="External"/><Relationship Id="rId91" Type="http://schemas.openxmlformats.org/officeDocument/2006/relationships/hyperlink" Target="http://t.me/maminanejnost" TargetMode="External"/><Relationship Id="rId90" Type="http://schemas.openxmlformats.org/officeDocument/2006/relationships/hyperlink" Target="https://m.vk.com/unrealeye" TargetMode="External"/><Relationship Id="rId93" Type="http://schemas.openxmlformats.org/officeDocument/2006/relationships/hyperlink" Target="https://t.me/cveticsemecvetic" TargetMode="External"/><Relationship Id="rId92" Type="http://schemas.openxmlformats.org/officeDocument/2006/relationships/hyperlink" Target="https://vk.ru/cveticsemecvetic" TargetMode="External"/><Relationship Id="rId118" Type="http://schemas.openxmlformats.org/officeDocument/2006/relationships/hyperlink" Target="http://t.me/stpnnr" TargetMode="External"/><Relationship Id="rId117" Type="http://schemas.openxmlformats.org/officeDocument/2006/relationships/hyperlink" Target="https://vk.ru/stepannovoselov" TargetMode="External"/><Relationship Id="rId116" Type="http://schemas.openxmlformats.org/officeDocument/2006/relationships/hyperlink" Target="https://m.vk.com/sofmary" TargetMode="External"/><Relationship Id="rId115" Type="http://schemas.openxmlformats.org/officeDocument/2006/relationships/hyperlink" Target="https://vk.com/yomso_imnida" TargetMode="External"/><Relationship Id="rId119" Type="http://schemas.openxmlformats.org/officeDocument/2006/relationships/hyperlink" Target="https://vk.com/slishkom_zanita" TargetMode="External"/><Relationship Id="rId110" Type="http://schemas.openxmlformats.org/officeDocument/2006/relationships/hyperlink" Target="http://t.me/aleksandr_mozzhukhin" TargetMode="External"/><Relationship Id="rId114" Type="http://schemas.openxmlformats.org/officeDocument/2006/relationships/hyperlink" Target="https://vk.com/kot246" TargetMode="External"/><Relationship Id="rId113" Type="http://schemas.openxmlformats.org/officeDocument/2006/relationships/hyperlink" Target="http://t.me/tuulenu" TargetMode="External"/><Relationship Id="rId112" Type="http://schemas.openxmlformats.org/officeDocument/2006/relationships/hyperlink" Target="https://vk.com/sishis" TargetMode="External"/><Relationship Id="rId111" Type="http://schemas.openxmlformats.org/officeDocument/2006/relationships/hyperlink" Target="https://vk.com/id63725349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anonimvalentinbot?start=740969473" TargetMode="External"/><Relationship Id="rId190" Type="http://schemas.openxmlformats.org/officeDocument/2006/relationships/hyperlink" Target="http://vk.com/limon413" TargetMode="External"/><Relationship Id="rId42" Type="http://schemas.openxmlformats.org/officeDocument/2006/relationships/hyperlink" Target="https://vk.com/angelinabespalaya" TargetMode="External"/><Relationship Id="rId41" Type="http://schemas.openxmlformats.org/officeDocument/2006/relationships/hyperlink" Target="https://vk.com/nika_berochkina" TargetMode="External"/><Relationship Id="rId44" Type="http://schemas.openxmlformats.org/officeDocument/2006/relationships/hyperlink" Target="http://vk.com/andrew0400" TargetMode="External"/><Relationship Id="rId194" Type="http://schemas.openxmlformats.org/officeDocument/2006/relationships/hyperlink" Target="https://m.vk.com/ramina_m_m" TargetMode="External"/><Relationship Id="rId43" Type="http://schemas.openxmlformats.org/officeDocument/2006/relationships/hyperlink" Target="http://vk.com/brtbtrzv" TargetMode="External"/><Relationship Id="rId193" Type="http://schemas.openxmlformats.org/officeDocument/2006/relationships/hyperlink" Target="https://m.vk.com/ramina_m_m" TargetMode="External"/><Relationship Id="rId46" Type="http://schemas.openxmlformats.org/officeDocument/2006/relationships/hyperlink" Target="https://vk.com/08figure09" TargetMode="External"/><Relationship Id="rId192" Type="http://schemas.openxmlformats.org/officeDocument/2006/relationships/hyperlink" Target="http://vk.com/jumesch" TargetMode="External"/><Relationship Id="rId45" Type="http://schemas.openxmlformats.org/officeDocument/2006/relationships/hyperlink" Target="http://t.me/st_valentines_bot?start=354930110" TargetMode="External"/><Relationship Id="rId191" Type="http://schemas.openxmlformats.org/officeDocument/2006/relationships/hyperlink" Target="https://vk.com/alexmeshr" TargetMode="External"/><Relationship Id="rId48" Type="http://schemas.openxmlformats.org/officeDocument/2006/relationships/hyperlink" Target="http://vk.com/bublik_a_ne_zhvachka" TargetMode="External"/><Relationship Id="rId187" Type="http://schemas.openxmlformats.org/officeDocument/2006/relationships/hyperlink" Target="http://vk.com/arsenmjan" TargetMode="External"/><Relationship Id="rId47" Type="http://schemas.openxmlformats.org/officeDocument/2006/relationships/hyperlink" Target="http://t.me/anonimvalentinbot?start=1351471703" TargetMode="External"/><Relationship Id="rId186" Type="http://schemas.openxmlformats.org/officeDocument/2006/relationships/hyperlink" Target="https://vk.com/marenkova.arina" TargetMode="External"/><Relationship Id="rId185" Type="http://schemas.openxmlformats.org/officeDocument/2006/relationships/hyperlink" Target="http://vk.com/maltusoff" TargetMode="External"/><Relationship Id="rId49" Type="http://schemas.openxmlformats.org/officeDocument/2006/relationships/hyperlink" Target="http://vk.com/chopaboy" TargetMode="External"/><Relationship Id="rId184" Type="http://schemas.openxmlformats.org/officeDocument/2006/relationships/hyperlink" Target="http://vk.com/sparkling_biscuit" TargetMode="External"/><Relationship Id="rId189" Type="http://schemas.openxmlformats.org/officeDocument/2006/relationships/hyperlink" Target="https://vk.com/med.gosha" TargetMode="External"/><Relationship Id="rId188" Type="http://schemas.openxmlformats.org/officeDocument/2006/relationships/hyperlink" Target="http://vk.com/max.maryasov" TargetMode="External"/><Relationship Id="rId31" Type="http://schemas.openxmlformats.org/officeDocument/2006/relationships/hyperlink" Target="http://vk.com/reginabzhnn" TargetMode="External"/><Relationship Id="rId30" Type="http://schemas.openxmlformats.org/officeDocument/2006/relationships/hyperlink" Target="https://vk.com/em_krokant" TargetMode="External"/><Relationship Id="rId33" Type="http://schemas.openxmlformats.org/officeDocument/2006/relationships/hyperlink" Target="http://vk.com/id428822601" TargetMode="External"/><Relationship Id="rId183" Type="http://schemas.openxmlformats.org/officeDocument/2006/relationships/hyperlink" Target="https://vk.com/gagagagoose" TargetMode="External"/><Relationship Id="rId32" Type="http://schemas.openxmlformats.org/officeDocument/2006/relationships/hyperlink" Target="https://vk.com/elarliu" TargetMode="External"/><Relationship Id="rId182" Type="http://schemas.openxmlformats.org/officeDocument/2006/relationships/hyperlink" Target="http://vk.com/leo1505" TargetMode="External"/><Relationship Id="rId35" Type="http://schemas.openxmlformats.org/officeDocument/2006/relationships/hyperlink" Target="http://t.me/st_valentines_bot?start=808573035" TargetMode="External"/><Relationship Id="rId181" Type="http://schemas.openxmlformats.org/officeDocument/2006/relationships/hyperlink" Target="https://vk.com/a__luka" TargetMode="External"/><Relationship Id="rId34" Type="http://schemas.openxmlformats.org/officeDocument/2006/relationships/hyperlink" Target="mailto:belyaevaolga881@gmail.com" TargetMode="External"/><Relationship Id="rId180" Type="http://schemas.openxmlformats.org/officeDocument/2006/relationships/hyperlink" Target="http://vk.com/sageininsanity" TargetMode="External"/><Relationship Id="rId37" Type="http://schemas.openxmlformats.org/officeDocument/2006/relationships/hyperlink" Target="http://vk.com/id9355086" TargetMode="External"/><Relationship Id="rId176" Type="http://schemas.openxmlformats.org/officeDocument/2006/relationships/hyperlink" Target="https://vk.me/lebedev.andrei" TargetMode="External"/><Relationship Id="rId297" Type="http://schemas.openxmlformats.org/officeDocument/2006/relationships/hyperlink" Target="https://vk.com/little_sfochka" TargetMode="External"/><Relationship Id="rId36" Type="http://schemas.openxmlformats.org/officeDocument/2006/relationships/hyperlink" Target="http://t.me/st_valentines_bot?start=808573035" TargetMode="External"/><Relationship Id="rId175" Type="http://schemas.openxmlformats.org/officeDocument/2006/relationships/hyperlink" Target="http://vk.com/shoma_lat" TargetMode="External"/><Relationship Id="rId296" Type="http://schemas.openxmlformats.org/officeDocument/2006/relationships/hyperlink" Target="https://vk.com/trandelik" TargetMode="External"/><Relationship Id="rId39" Type="http://schemas.openxmlformats.org/officeDocument/2006/relationships/hyperlink" Target="http://t.me/st_valentines_bot?start=740969473" TargetMode="External"/><Relationship Id="rId174" Type="http://schemas.openxmlformats.org/officeDocument/2006/relationships/hyperlink" Target="http://vk.com/imsodumb" TargetMode="External"/><Relationship Id="rId295" Type="http://schemas.openxmlformats.org/officeDocument/2006/relationships/hyperlink" Target="http://vk.com/max_fed" TargetMode="External"/><Relationship Id="rId38" Type="http://schemas.openxmlformats.org/officeDocument/2006/relationships/hyperlink" Target="https://vk.com/arinacampbell" TargetMode="External"/><Relationship Id="rId173" Type="http://schemas.openxmlformats.org/officeDocument/2006/relationships/hyperlink" Target="http://t.me/st_valentines_bot?start=926613707" TargetMode="External"/><Relationship Id="rId294" Type="http://schemas.openxmlformats.org/officeDocument/2006/relationships/hyperlink" Target="mailto:FedorovVV@my.msu.ru" TargetMode="External"/><Relationship Id="rId179" Type="http://schemas.openxmlformats.org/officeDocument/2006/relationships/hyperlink" Target="http://t.me/st_valentines_bot?start=356795428" TargetMode="External"/><Relationship Id="rId178" Type="http://schemas.openxmlformats.org/officeDocument/2006/relationships/hyperlink" Target="http://vk.com/vseklubnichno" TargetMode="External"/><Relationship Id="rId299" Type="http://schemas.openxmlformats.org/officeDocument/2006/relationships/hyperlink" Target="http://t.me/st_valentines_bot?start=466845042" TargetMode="External"/><Relationship Id="rId177" Type="http://schemas.openxmlformats.org/officeDocument/2006/relationships/hyperlink" Target="http://vk.com/wesban" TargetMode="External"/><Relationship Id="rId298" Type="http://schemas.openxmlformats.org/officeDocument/2006/relationships/hyperlink" Target="https://vk.com/ariana.khitrova" TargetMode="External"/><Relationship Id="rId20" Type="http://schemas.openxmlformats.org/officeDocument/2006/relationships/hyperlink" Target="http://t.me/st_valentines_bot?start=443368339" TargetMode="External"/><Relationship Id="rId22" Type="http://schemas.openxmlformats.org/officeDocument/2006/relationships/hyperlink" Target="http://vk.com/notpil_inc" TargetMode="External"/><Relationship Id="rId21" Type="http://schemas.openxmlformats.org/officeDocument/2006/relationships/hyperlink" Target="http://vk.com/id31843157" TargetMode="External"/><Relationship Id="rId24" Type="http://schemas.openxmlformats.org/officeDocument/2006/relationships/hyperlink" Target="https://vk.com/zhorka.bang" TargetMode="External"/><Relationship Id="rId23" Type="http://schemas.openxmlformats.org/officeDocument/2006/relationships/hyperlink" Target="https://m.vk.com/id506201619" TargetMode="External"/><Relationship Id="rId26" Type="http://schemas.openxmlformats.org/officeDocument/2006/relationships/hyperlink" Target="https://m.vk.com/id245038027" TargetMode="External"/><Relationship Id="rId25" Type="http://schemas.openxmlformats.org/officeDocument/2006/relationships/hyperlink" Target="http://vk.com/dan.hardkuzo" TargetMode="External"/><Relationship Id="rId28" Type="http://schemas.openxmlformats.org/officeDocument/2006/relationships/hyperlink" Target="http://vk.com/fnt145" TargetMode="External"/><Relationship Id="rId27" Type="http://schemas.openxmlformats.org/officeDocument/2006/relationships/hyperlink" Target="http://vk.com/s_polya_15" TargetMode="External"/><Relationship Id="rId29" Type="http://schemas.openxmlformats.org/officeDocument/2006/relationships/hyperlink" Target="https://vk.com/kolmlena" TargetMode="External"/><Relationship Id="rId11" Type="http://schemas.openxmlformats.org/officeDocument/2006/relationships/hyperlink" Target="http://vk.com/ann_mcdoogle" TargetMode="External"/><Relationship Id="rId10" Type="http://schemas.openxmlformats.org/officeDocument/2006/relationships/hyperlink" Target="http://vk.com/anokhin.vladis" TargetMode="External"/><Relationship Id="rId13" Type="http://schemas.openxmlformats.org/officeDocument/2006/relationships/hyperlink" Target="http://t.me/st_valentines_bot?start=455947842" TargetMode="External"/><Relationship Id="rId12" Type="http://schemas.openxmlformats.org/officeDocument/2006/relationships/hyperlink" Target="https://vk.com/chereshnya123" TargetMode="External"/><Relationship Id="rId15" Type="http://schemas.openxmlformats.org/officeDocument/2006/relationships/hyperlink" Target="http://vk.com/k_o_l_y_a_24" TargetMode="External"/><Relationship Id="rId198" Type="http://schemas.openxmlformats.org/officeDocument/2006/relationships/hyperlink" Target="http://t.me/anonimvalentinbot?start=886590633" TargetMode="External"/><Relationship Id="rId14" Type="http://schemas.openxmlformats.org/officeDocument/2006/relationships/hyperlink" Target="http://t.me/anonimvalentinbot?start=455947842" TargetMode="External"/><Relationship Id="rId197" Type="http://schemas.openxmlformats.org/officeDocument/2006/relationships/hyperlink" Target="http://vk.com/vanyadelta" TargetMode="External"/><Relationship Id="rId17" Type="http://schemas.openxmlformats.org/officeDocument/2006/relationships/hyperlink" Target="http://t.me/st_valentines_bot?start=655700935" TargetMode="External"/><Relationship Id="rId196" Type="http://schemas.openxmlformats.org/officeDocument/2006/relationships/hyperlink" Target="https://vk.com/mnaz2002" TargetMode="External"/><Relationship Id="rId16" Type="http://schemas.openxmlformats.org/officeDocument/2006/relationships/hyperlink" Target="https://vk.com/ilonaasanova" TargetMode="External"/><Relationship Id="rId195" Type="http://schemas.openxmlformats.org/officeDocument/2006/relationships/hyperlink" Target="http://vk.com/prost_mur" TargetMode="External"/><Relationship Id="rId19" Type="http://schemas.openxmlformats.org/officeDocument/2006/relationships/hyperlink" Target="http://vk.com/avakadododo" TargetMode="External"/><Relationship Id="rId18" Type="http://schemas.openxmlformats.org/officeDocument/2006/relationships/hyperlink" Target="http://vk.com/r0ussette" TargetMode="External"/><Relationship Id="rId199" Type="http://schemas.openxmlformats.org/officeDocument/2006/relationships/hyperlink" Target="http://vk.com/d_nechitaylova" TargetMode="External"/><Relationship Id="rId84" Type="http://schemas.openxmlformats.org/officeDocument/2006/relationships/hyperlink" Target="https://vk.com/snshnrt" TargetMode="External"/><Relationship Id="rId83" Type="http://schemas.openxmlformats.org/officeDocument/2006/relationships/hyperlink" Target="https://vk.com/georgiygenin" TargetMode="External"/><Relationship Id="rId86" Type="http://schemas.openxmlformats.org/officeDocument/2006/relationships/hyperlink" Target="mailto:gegalare@gmail.com" TargetMode="External"/><Relationship Id="rId85" Type="http://schemas.openxmlformats.org/officeDocument/2006/relationships/hyperlink" Target="http://vk.com/gegalare" TargetMode="External"/><Relationship Id="rId88" Type="http://schemas.openxmlformats.org/officeDocument/2006/relationships/hyperlink" Target="http://t.me/blinsmyasom" TargetMode="External"/><Relationship Id="rId150" Type="http://schemas.openxmlformats.org/officeDocument/2006/relationships/hyperlink" Target="https://vk.com/id65651944" TargetMode="External"/><Relationship Id="rId271" Type="http://schemas.openxmlformats.org/officeDocument/2006/relationships/hyperlink" Target="http://vk.com/id132316994" TargetMode="External"/><Relationship Id="rId87" Type="http://schemas.openxmlformats.org/officeDocument/2006/relationships/hyperlink" Target="https://vk.com/li.g0vk" TargetMode="External"/><Relationship Id="rId270" Type="http://schemas.openxmlformats.org/officeDocument/2006/relationships/hyperlink" Target="https://vk.com/ne_sokolenok" TargetMode="External"/><Relationship Id="rId89" Type="http://schemas.openxmlformats.org/officeDocument/2006/relationships/hyperlink" Target="http://vk.com/mglvc" TargetMode="External"/><Relationship Id="rId80" Type="http://schemas.openxmlformats.org/officeDocument/2006/relationships/hyperlink" Target="http://vk.com/monkymagik" TargetMode="External"/><Relationship Id="rId82" Type="http://schemas.openxmlformats.org/officeDocument/2006/relationships/hyperlink" Target="http://vk.com/id171743803" TargetMode="External"/><Relationship Id="rId81" Type="http://schemas.openxmlformats.org/officeDocument/2006/relationships/hyperlink" Target="https://t.me/Denis_Galanin" TargetMode="External"/><Relationship Id="rId1" Type="http://schemas.openxmlformats.org/officeDocument/2006/relationships/hyperlink" Target="http://vk.com/ruvasha" TargetMode="External"/><Relationship Id="rId2" Type="http://schemas.openxmlformats.org/officeDocument/2006/relationships/hyperlink" Target="https://vk.com/iageev0" TargetMode="External"/><Relationship Id="rId3" Type="http://schemas.openxmlformats.org/officeDocument/2006/relationships/hyperlink" Target="http://vk.com/mekuun" TargetMode="External"/><Relationship Id="rId149" Type="http://schemas.openxmlformats.org/officeDocument/2006/relationships/hyperlink" Target="https://vk.com/zakhariok" TargetMode="External"/><Relationship Id="rId4" Type="http://schemas.openxmlformats.org/officeDocument/2006/relationships/hyperlink" Target="https://vk.com/powithlo" TargetMode="External"/><Relationship Id="rId148" Type="http://schemas.openxmlformats.org/officeDocument/2006/relationships/hyperlink" Target="https://vk.com/pukanitoelbombito" TargetMode="External"/><Relationship Id="rId269" Type="http://schemas.openxmlformats.org/officeDocument/2006/relationships/hyperlink" Target="https://vk.com/windylink" TargetMode="External"/><Relationship Id="rId9" Type="http://schemas.openxmlformats.org/officeDocument/2006/relationships/hyperlink" Target="https://vk.com/away.php?to=http%3A%2F%2Ft.me%2Fst_valentines_bot%3Fstart%3D451664142&amp;cc_key=" TargetMode="External"/><Relationship Id="rId143" Type="http://schemas.openxmlformats.org/officeDocument/2006/relationships/hyperlink" Target="http://vk.com/kovalevskya" TargetMode="External"/><Relationship Id="rId264" Type="http://schemas.openxmlformats.org/officeDocument/2006/relationships/hyperlink" Target="https://vk.com/andrusik_s" TargetMode="External"/><Relationship Id="rId142" Type="http://schemas.openxmlformats.org/officeDocument/2006/relationships/hyperlink" Target="https://vk.com/kob_mr" TargetMode="External"/><Relationship Id="rId263" Type="http://schemas.openxmlformats.org/officeDocument/2006/relationships/hyperlink" Target="https://m.vk.com/d.skvor" TargetMode="External"/><Relationship Id="rId141" Type="http://schemas.openxmlformats.org/officeDocument/2006/relationships/hyperlink" Target="https://vk.com/just_to_feel_alive" TargetMode="External"/><Relationship Id="rId262" Type="http://schemas.openxmlformats.org/officeDocument/2006/relationships/hyperlink" Target="http://vk.com/skvoretsvskvorechnike" TargetMode="External"/><Relationship Id="rId140" Type="http://schemas.openxmlformats.org/officeDocument/2006/relationships/hyperlink" Target="http://vk.com/id146822200" TargetMode="External"/><Relationship Id="rId261" Type="http://schemas.openxmlformats.org/officeDocument/2006/relationships/hyperlink" Target="https://vk.com/kruglm" TargetMode="External"/><Relationship Id="rId5" Type="http://schemas.openxmlformats.org/officeDocument/2006/relationships/hyperlink" Target="http://vk.com/id58470497" TargetMode="External"/><Relationship Id="rId147" Type="http://schemas.openxmlformats.org/officeDocument/2006/relationships/hyperlink" Target="http://vk.com/polina_kozhukh" TargetMode="External"/><Relationship Id="rId268" Type="http://schemas.openxmlformats.org/officeDocument/2006/relationships/hyperlink" Target="https://vk.com/durak__on1ine" TargetMode="External"/><Relationship Id="rId6" Type="http://schemas.openxmlformats.org/officeDocument/2006/relationships/hyperlink" Target="https://vk.com/liza__ziza" TargetMode="External"/><Relationship Id="rId146" Type="http://schemas.openxmlformats.org/officeDocument/2006/relationships/hyperlink" Target="http://vk.com/polina_kozhukh" TargetMode="External"/><Relationship Id="rId267" Type="http://schemas.openxmlformats.org/officeDocument/2006/relationships/hyperlink" Target="http://t.me/ClaireMill" TargetMode="External"/><Relationship Id="rId7" Type="http://schemas.openxmlformats.org/officeDocument/2006/relationships/hyperlink" Target="https://vk.com/id246208831" TargetMode="External"/><Relationship Id="rId145" Type="http://schemas.openxmlformats.org/officeDocument/2006/relationships/hyperlink" Target="https://vk.com/provvalek" TargetMode="External"/><Relationship Id="rId266" Type="http://schemas.openxmlformats.org/officeDocument/2006/relationships/hyperlink" Target="https://vk.com/clare_ross_vrs" TargetMode="External"/><Relationship Id="rId8" Type="http://schemas.openxmlformats.org/officeDocument/2006/relationships/hyperlink" Target="https://vk.com/id412333948" TargetMode="External"/><Relationship Id="rId144" Type="http://schemas.openxmlformats.org/officeDocument/2006/relationships/hyperlink" Target="http://vk.com/polinipsycho" TargetMode="External"/><Relationship Id="rId265" Type="http://schemas.openxmlformats.org/officeDocument/2006/relationships/hyperlink" Target="https://vk.com/l0nely9r0i9" TargetMode="External"/><Relationship Id="rId73" Type="http://schemas.openxmlformats.org/officeDocument/2006/relationships/hyperlink" Target="http://vk.com/lenochka_lvl" TargetMode="External"/><Relationship Id="rId72" Type="http://schemas.openxmlformats.org/officeDocument/2006/relationships/hyperlink" Target="https://vk.com/serv_01" TargetMode="External"/><Relationship Id="rId75" Type="http://schemas.openxmlformats.org/officeDocument/2006/relationships/hyperlink" Target="https://vk.com/id530419328" TargetMode="External"/><Relationship Id="rId74" Type="http://schemas.openxmlformats.org/officeDocument/2006/relationships/hyperlink" Target="https://vk.com/away.php?to=http%3A%2F%2Ft.me%2Fst_valentines_bot%3Fstart%3D672888666&amp;cc_key=" TargetMode="External"/><Relationship Id="rId77" Type="http://schemas.openxmlformats.org/officeDocument/2006/relationships/hyperlink" Target="http://vk.com/id131487706" TargetMode="External"/><Relationship Id="rId260" Type="http://schemas.openxmlformats.org/officeDocument/2006/relationships/hyperlink" Target="http://t.me/olegsiys" TargetMode="External"/><Relationship Id="rId76" Type="http://schemas.openxmlformats.org/officeDocument/2006/relationships/hyperlink" Target="https://vk.com/id499671201" TargetMode="External"/><Relationship Id="rId79" Type="http://schemas.openxmlformats.org/officeDocument/2006/relationships/hyperlink" Target="http://vk.com/not_altooo" TargetMode="External"/><Relationship Id="rId78" Type="http://schemas.openxmlformats.org/officeDocument/2006/relationships/hyperlink" Target="https://vk.com/taya_sad" TargetMode="External"/><Relationship Id="rId71" Type="http://schemas.openxmlformats.org/officeDocument/2006/relationships/hyperlink" Target="http://t.me/anonimvalentinbot?start=291457016" TargetMode="External"/><Relationship Id="rId70" Type="http://schemas.openxmlformats.org/officeDocument/2006/relationships/hyperlink" Target="http://vk.com/evheee" TargetMode="External"/><Relationship Id="rId139" Type="http://schemas.openxmlformats.org/officeDocument/2006/relationships/hyperlink" Target="https://vk.com/kiiiselll" TargetMode="External"/><Relationship Id="rId138" Type="http://schemas.openxmlformats.org/officeDocument/2006/relationships/hyperlink" Target="http://vk.com/anastasiakirillova2000" TargetMode="External"/><Relationship Id="rId259" Type="http://schemas.openxmlformats.org/officeDocument/2006/relationships/hyperlink" Target="http://vk.com/lesha_vodokachkin" TargetMode="External"/><Relationship Id="rId137" Type="http://schemas.openxmlformats.org/officeDocument/2006/relationships/hyperlink" Target="http://vk.com/id203396225" TargetMode="External"/><Relationship Id="rId258" Type="http://schemas.openxmlformats.org/officeDocument/2006/relationships/hyperlink" Target="https://vk.com/dofragle" TargetMode="External"/><Relationship Id="rId132" Type="http://schemas.openxmlformats.org/officeDocument/2006/relationships/hyperlink" Target="https://vk.com/id83471033" TargetMode="External"/><Relationship Id="rId253" Type="http://schemas.openxmlformats.org/officeDocument/2006/relationships/hyperlink" Target="mailto:ulsamo@gmail.com" TargetMode="External"/><Relationship Id="rId131" Type="http://schemas.openxmlformats.org/officeDocument/2006/relationships/hyperlink" Target="http://vk.com/dmkalash" TargetMode="External"/><Relationship Id="rId252" Type="http://schemas.openxmlformats.org/officeDocument/2006/relationships/hyperlink" Target="http://vk.com/uliana_nesmeyana" TargetMode="External"/><Relationship Id="rId130" Type="http://schemas.openxmlformats.org/officeDocument/2006/relationships/hyperlink" Target="mailto:Andrey.s.kalachev@gmail.com" TargetMode="External"/><Relationship Id="rId251" Type="http://schemas.openxmlformats.org/officeDocument/2006/relationships/hyperlink" Target="http://t.me/st_valentines_bot?start=718533120" TargetMode="External"/><Relationship Id="rId250" Type="http://schemas.openxmlformats.org/officeDocument/2006/relationships/hyperlink" Target="https://vk.com/slava020805" TargetMode="External"/><Relationship Id="rId136" Type="http://schemas.openxmlformats.org/officeDocument/2006/relationships/hyperlink" Target="https://t.me/anyakarpinskaya" TargetMode="External"/><Relationship Id="rId257" Type="http://schemas.openxmlformats.org/officeDocument/2006/relationships/hyperlink" Target="http://vk.com/perlovque" TargetMode="External"/><Relationship Id="rId135" Type="http://schemas.openxmlformats.org/officeDocument/2006/relationships/hyperlink" Target="https://vk.com/anya.karpinskaya" TargetMode="External"/><Relationship Id="rId256" Type="http://schemas.openxmlformats.org/officeDocument/2006/relationships/hyperlink" Target="https://vk.com/away.php?to=http%3A%2F%2Ft.me%2Fst_valentines_bot%3Fstart%3D500102667&amp;cc_key=" TargetMode="External"/><Relationship Id="rId134" Type="http://schemas.openxmlformats.org/officeDocument/2006/relationships/hyperlink" Target="http://vk.com/mkarnaukhoff" TargetMode="External"/><Relationship Id="rId255" Type="http://schemas.openxmlformats.org/officeDocument/2006/relationships/hyperlink" Target="http://vk.com/adelinchesss" TargetMode="External"/><Relationship Id="rId133" Type="http://schemas.openxmlformats.org/officeDocument/2006/relationships/hyperlink" Target="https://vk.com/id438797676" TargetMode="External"/><Relationship Id="rId254" Type="http://schemas.openxmlformats.org/officeDocument/2006/relationships/hyperlink" Target="https://vk.com/hunrey" TargetMode="External"/><Relationship Id="rId62" Type="http://schemas.openxmlformats.org/officeDocument/2006/relationships/hyperlink" Target="https://vk.com/kosatkatya" TargetMode="External"/><Relationship Id="rId61" Type="http://schemas.openxmlformats.org/officeDocument/2006/relationships/hyperlink" Target="http://vk.com/id188835649" TargetMode="External"/><Relationship Id="rId64" Type="http://schemas.openxmlformats.org/officeDocument/2006/relationships/hyperlink" Target="https://vk.com/sator_square" TargetMode="External"/><Relationship Id="rId63" Type="http://schemas.openxmlformats.org/officeDocument/2006/relationships/hyperlink" Target="http://vk.com/id147414180" TargetMode="External"/><Relationship Id="rId66" Type="http://schemas.openxmlformats.org/officeDocument/2006/relationships/hyperlink" Target="https://m.vk.com/andrey_voter" TargetMode="External"/><Relationship Id="rId172" Type="http://schemas.openxmlformats.org/officeDocument/2006/relationships/hyperlink" Target="https://vk.com/vladislavlapikov" TargetMode="External"/><Relationship Id="rId293" Type="http://schemas.openxmlformats.org/officeDocument/2006/relationships/hyperlink" Target="http://vk.com/bublox" TargetMode="External"/><Relationship Id="rId65" Type="http://schemas.openxmlformats.org/officeDocument/2006/relationships/hyperlink" Target="http://vk.com/aprilcarro" TargetMode="External"/><Relationship Id="rId171" Type="http://schemas.openxmlformats.org/officeDocument/2006/relationships/hyperlink" Target="http://vk.com/kolyalan" TargetMode="External"/><Relationship Id="rId292" Type="http://schemas.openxmlformats.org/officeDocument/2006/relationships/hyperlink" Target="http://vk.com/sfaddeeva" TargetMode="External"/><Relationship Id="rId68" Type="http://schemas.openxmlformats.org/officeDocument/2006/relationships/hyperlink" Target="https://vk.com/away.php?to=http%3A%2F%2Ft.me%2Fst_valentines_bot%3Fstart%3D397691720&amp;cc_key=" TargetMode="External"/><Relationship Id="rId170" Type="http://schemas.openxmlformats.org/officeDocument/2006/relationships/hyperlink" Target="https://vk.com/id143603533" TargetMode="External"/><Relationship Id="rId291" Type="http://schemas.openxmlformats.org/officeDocument/2006/relationships/hyperlink" Target="http://vk.com/lovely_princess_27" TargetMode="External"/><Relationship Id="rId67" Type="http://schemas.openxmlformats.org/officeDocument/2006/relationships/hyperlink" Target="https://vk.com/id274066589" TargetMode="External"/><Relationship Id="rId290" Type="http://schemas.openxmlformats.org/officeDocument/2006/relationships/hyperlink" Target="http://vk.com/asmo_bard" TargetMode="External"/><Relationship Id="rId60" Type="http://schemas.openxmlformats.org/officeDocument/2006/relationships/hyperlink" Target="http://t.me/anonimvalentinbot?start=803070680" TargetMode="External"/><Relationship Id="rId165" Type="http://schemas.openxmlformats.org/officeDocument/2006/relationships/hyperlink" Target="http://vk.com/igorkuleshov" TargetMode="External"/><Relationship Id="rId286" Type="http://schemas.openxmlformats.org/officeDocument/2006/relationships/hyperlink" Target="https://vk.com/finitos_hq" TargetMode="External"/><Relationship Id="rId69" Type="http://schemas.openxmlformats.org/officeDocument/2006/relationships/hyperlink" Target="http://vk.com/id42499509" TargetMode="External"/><Relationship Id="rId164" Type="http://schemas.openxmlformats.org/officeDocument/2006/relationships/hyperlink" Target="http://t.me/st_valentines_bot?start=156090715" TargetMode="External"/><Relationship Id="rId285" Type="http://schemas.openxmlformats.org/officeDocument/2006/relationships/hyperlink" Target="https://vk.com/otonisheva" TargetMode="External"/><Relationship Id="rId163" Type="http://schemas.openxmlformats.org/officeDocument/2006/relationships/hyperlink" Target="http://vk.com/id62844180" TargetMode="External"/><Relationship Id="rId284" Type="http://schemas.openxmlformats.org/officeDocument/2006/relationships/hyperlink" Target="https://vk.com/barbara_tlst" TargetMode="External"/><Relationship Id="rId162" Type="http://schemas.openxmlformats.org/officeDocument/2006/relationships/hyperlink" Target="https://vk.com/artemkudisov" TargetMode="External"/><Relationship Id="rId283" Type="http://schemas.openxmlformats.org/officeDocument/2006/relationships/hyperlink" Target="https://vk.com/barbara_tlst" TargetMode="External"/><Relationship Id="rId169" Type="http://schemas.openxmlformats.org/officeDocument/2006/relationships/hyperlink" Target="https://t.me/anonimvalentinbot?start=701970724" TargetMode="External"/><Relationship Id="rId168" Type="http://schemas.openxmlformats.org/officeDocument/2006/relationships/hyperlink" Target="https://vk.com/2markusha2" TargetMode="External"/><Relationship Id="rId289" Type="http://schemas.openxmlformats.org/officeDocument/2006/relationships/hyperlink" Target="http://vk.com/svyathor" TargetMode="External"/><Relationship Id="rId167" Type="http://schemas.openxmlformats.org/officeDocument/2006/relationships/hyperlink" Target="https://vk.com/leraleraleraaaaaa" TargetMode="External"/><Relationship Id="rId288" Type="http://schemas.openxmlformats.org/officeDocument/2006/relationships/hyperlink" Target="https://vk.com/nick_name_77" TargetMode="External"/><Relationship Id="rId166" Type="http://schemas.openxmlformats.org/officeDocument/2006/relationships/hyperlink" Target="http://t.me/st_valentines_bot?start=156090715" TargetMode="External"/><Relationship Id="rId287" Type="http://schemas.openxmlformats.org/officeDocument/2006/relationships/hyperlink" Target="http://vk.com/arseniytrofimov" TargetMode="External"/><Relationship Id="rId51" Type="http://schemas.openxmlformats.org/officeDocument/2006/relationships/hyperlink" Target="http://vk.com/ghostwheat" TargetMode="External"/><Relationship Id="rId50" Type="http://schemas.openxmlformats.org/officeDocument/2006/relationships/hyperlink" Target="http://vk.com/bondarenko.anya" TargetMode="External"/><Relationship Id="rId53" Type="http://schemas.openxmlformats.org/officeDocument/2006/relationships/hyperlink" Target="https://vk.com/alexs_boo" TargetMode="External"/><Relationship Id="rId52" Type="http://schemas.openxmlformats.org/officeDocument/2006/relationships/hyperlink" Target="https://vk.com/iraevs" TargetMode="External"/><Relationship Id="rId55" Type="http://schemas.openxmlformats.org/officeDocument/2006/relationships/hyperlink" Target="http://t.me/anonimvalentinbot?start=1056076466" TargetMode="External"/><Relationship Id="rId161" Type="http://schemas.openxmlformats.org/officeDocument/2006/relationships/hyperlink" Target="https://vk.com/tintenrush" TargetMode="External"/><Relationship Id="rId282" Type="http://schemas.openxmlformats.org/officeDocument/2006/relationships/hyperlink" Target="http://vk.com/barbara_tlst" TargetMode="External"/><Relationship Id="rId54" Type="http://schemas.openxmlformats.org/officeDocument/2006/relationships/hyperlink" Target="https://vk.com/k.bryskina" TargetMode="External"/><Relationship Id="rId160" Type="http://schemas.openxmlformats.org/officeDocument/2006/relationships/hyperlink" Target="https://vk.com/anya_ktv" TargetMode="External"/><Relationship Id="rId281" Type="http://schemas.openxmlformats.org/officeDocument/2006/relationships/hyperlink" Target="https://vk.com/nikitatess" TargetMode="External"/><Relationship Id="rId57" Type="http://schemas.openxmlformats.org/officeDocument/2006/relationships/hyperlink" Target="http://vk.com/massidan1" TargetMode="External"/><Relationship Id="rId280" Type="http://schemas.openxmlformats.org/officeDocument/2006/relationships/hyperlink" Target="https://vk.com/daria888t" TargetMode="External"/><Relationship Id="rId56" Type="http://schemas.openxmlformats.org/officeDocument/2006/relationships/hyperlink" Target="https://vk.com/nbuzanov" TargetMode="External"/><Relationship Id="rId159" Type="http://schemas.openxmlformats.org/officeDocument/2006/relationships/hyperlink" Target="http://vk.com/a_r_k_r" TargetMode="External"/><Relationship Id="rId59" Type="http://schemas.openxmlformats.org/officeDocument/2006/relationships/hyperlink" Target="http://t.me/st_valentines_bot?start=803070680" TargetMode="External"/><Relationship Id="rId154" Type="http://schemas.openxmlformats.org/officeDocument/2006/relationships/hyperlink" Target="https://vk.com/id190892972" TargetMode="External"/><Relationship Id="rId275" Type="http://schemas.openxmlformats.org/officeDocument/2006/relationships/hyperlink" Target="https://sphsv" TargetMode="External"/><Relationship Id="rId58" Type="http://schemas.openxmlformats.org/officeDocument/2006/relationships/hyperlink" Target="https://vk.com/milady_hope" TargetMode="External"/><Relationship Id="rId153" Type="http://schemas.openxmlformats.org/officeDocument/2006/relationships/hyperlink" Target="http://vk.com/pizzarik" TargetMode="External"/><Relationship Id="rId274" Type="http://schemas.openxmlformats.org/officeDocument/2006/relationships/hyperlink" Target="https://vk.com/alexandr.surzhanskiy" TargetMode="External"/><Relationship Id="rId152" Type="http://schemas.openxmlformats.org/officeDocument/2006/relationships/hyperlink" Target="http://vk.com/id230727244" TargetMode="External"/><Relationship Id="rId273" Type="http://schemas.openxmlformats.org/officeDocument/2006/relationships/hyperlink" Target="https://vk.com/timidpunk" TargetMode="External"/><Relationship Id="rId151" Type="http://schemas.openxmlformats.org/officeDocument/2006/relationships/hyperlink" Target="https://vk.com/miss_mmarysh" TargetMode="External"/><Relationship Id="rId272" Type="http://schemas.openxmlformats.org/officeDocument/2006/relationships/hyperlink" Target="https://vk.com/morgnool_trapovich" TargetMode="External"/><Relationship Id="rId158" Type="http://schemas.openxmlformats.org/officeDocument/2006/relationships/hyperlink" Target="https://m.vk.com/k_kotelnitskiy" TargetMode="External"/><Relationship Id="rId279" Type="http://schemas.openxmlformats.org/officeDocument/2006/relationships/hyperlink" Target="https://vk.com/vanyatatarinov" TargetMode="External"/><Relationship Id="rId157" Type="http://schemas.openxmlformats.org/officeDocument/2006/relationships/hyperlink" Target="http://vk.com/kostin.rodion" TargetMode="External"/><Relationship Id="rId278" Type="http://schemas.openxmlformats.org/officeDocument/2006/relationships/hyperlink" Target="http://vk.com/antoinemagnifique" TargetMode="External"/><Relationship Id="rId156" Type="http://schemas.openxmlformats.org/officeDocument/2006/relationships/hyperlink" Target="http://vk.com/fulstock" TargetMode="External"/><Relationship Id="rId277" Type="http://schemas.openxmlformats.org/officeDocument/2006/relationships/hyperlink" Target="http://vk.com/id232583759" TargetMode="External"/><Relationship Id="rId155" Type="http://schemas.openxmlformats.org/officeDocument/2006/relationships/hyperlink" Target="http://t.me/st_valentines_bot?start=1074490918" TargetMode="External"/><Relationship Id="rId276" Type="http://schemas.openxmlformats.org/officeDocument/2006/relationships/hyperlink" Target="https://vk.com/b_zzzzzz" TargetMode="External"/><Relationship Id="rId107" Type="http://schemas.openxmlformats.org/officeDocument/2006/relationships/hyperlink" Target="https://vk.com/nastushasova" TargetMode="External"/><Relationship Id="rId228" Type="http://schemas.openxmlformats.org/officeDocument/2006/relationships/hyperlink" Target="https://t.me/alexxponomarenko" TargetMode="External"/><Relationship Id="rId106" Type="http://schemas.openxmlformats.org/officeDocument/2006/relationships/hyperlink" Target="http://vk.com/ezh_k" TargetMode="External"/><Relationship Id="rId227" Type="http://schemas.openxmlformats.org/officeDocument/2006/relationships/hyperlink" Target="https://vk.com/shwartzniger" TargetMode="External"/><Relationship Id="rId348" Type="http://schemas.openxmlformats.org/officeDocument/2006/relationships/drawing" Target="../drawings/drawing4.xml"/><Relationship Id="rId105" Type="http://schemas.openxmlformats.org/officeDocument/2006/relationships/hyperlink" Target="https://vk.com/kdyatlinko" TargetMode="External"/><Relationship Id="rId226" Type="http://schemas.openxmlformats.org/officeDocument/2006/relationships/hyperlink" Target="http://vk.com/dimlimon4ik" TargetMode="External"/><Relationship Id="rId347" Type="http://schemas.openxmlformats.org/officeDocument/2006/relationships/hyperlink" Target="http://t.me/dr_friedkin78" TargetMode="External"/><Relationship Id="rId104" Type="http://schemas.openxmlformats.org/officeDocument/2006/relationships/hyperlink" Target="http://vk.com/id381148645" TargetMode="External"/><Relationship Id="rId225" Type="http://schemas.openxmlformats.org/officeDocument/2006/relationships/hyperlink" Target="http://vk.com/nt_crckr" TargetMode="External"/><Relationship Id="rId346" Type="http://schemas.openxmlformats.org/officeDocument/2006/relationships/hyperlink" Target="http://vk.com/tiktoras" TargetMode="External"/><Relationship Id="rId109" Type="http://schemas.openxmlformats.org/officeDocument/2006/relationships/hyperlink" Target="http://vk.com/yury_zh" TargetMode="External"/><Relationship Id="rId108" Type="http://schemas.openxmlformats.org/officeDocument/2006/relationships/hyperlink" Target="http://vk.com/iamoslik" TargetMode="External"/><Relationship Id="rId229" Type="http://schemas.openxmlformats.org/officeDocument/2006/relationships/hyperlink" Target="http://vk.com/popov_markoni" TargetMode="External"/><Relationship Id="rId220" Type="http://schemas.openxmlformats.org/officeDocument/2006/relationships/hyperlink" Target="http://t.me/nastya_pion" TargetMode="External"/><Relationship Id="rId341" Type="http://schemas.openxmlformats.org/officeDocument/2006/relationships/hyperlink" Target="http://vk.com/will_cg" TargetMode="External"/><Relationship Id="rId340" Type="http://schemas.openxmlformats.org/officeDocument/2006/relationships/hyperlink" Target="http://t.me/anonimvalentinbot?start=948667655" TargetMode="External"/><Relationship Id="rId103" Type="http://schemas.openxmlformats.org/officeDocument/2006/relationships/hyperlink" Target="https://vk.com/micromoleklcula1100" TargetMode="External"/><Relationship Id="rId224" Type="http://schemas.openxmlformats.org/officeDocument/2006/relationships/hyperlink" Target="mailto:PovoroznyukAP@my.msu.ru" TargetMode="External"/><Relationship Id="rId345" Type="http://schemas.openxmlformats.org/officeDocument/2006/relationships/hyperlink" Target="http://vk.com/id118476181" TargetMode="External"/><Relationship Id="rId102" Type="http://schemas.openxmlformats.org/officeDocument/2006/relationships/hyperlink" Target="http://vk.com/kate_doroseva" TargetMode="External"/><Relationship Id="rId223" Type="http://schemas.openxmlformats.org/officeDocument/2006/relationships/hyperlink" Target="http://vk.com/maria__mayy" TargetMode="External"/><Relationship Id="rId344" Type="http://schemas.openxmlformats.org/officeDocument/2006/relationships/hyperlink" Target="http://vk.com/id118476181" TargetMode="External"/><Relationship Id="rId101" Type="http://schemas.openxmlformats.org/officeDocument/2006/relationships/hyperlink" Target="https://vk.com/deamterr" TargetMode="External"/><Relationship Id="rId222" Type="http://schemas.openxmlformats.org/officeDocument/2006/relationships/hyperlink" Target="https://vk.com/the_p_ocean" TargetMode="External"/><Relationship Id="rId343" Type="http://schemas.openxmlformats.org/officeDocument/2006/relationships/hyperlink" Target="https://vk.com/jesteroftoxics" TargetMode="External"/><Relationship Id="rId100" Type="http://schemas.openxmlformats.org/officeDocument/2006/relationships/hyperlink" Target="http://t.me/st_valentines_bot?start=286068841" TargetMode="External"/><Relationship Id="rId221" Type="http://schemas.openxmlformats.org/officeDocument/2006/relationships/hyperlink" Target="http://vk.com/pluzhnikovadari2000" TargetMode="External"/><Relationship Id="rId342" Type="http://schemas.openxmlformats.org/officeDocument/2006/relationships/hyperlink" Target="http://vk.com/katyaky" TargetMode="External"/><Relationship Id="rId217" Type="http://schemas.openxmlformats.org/officeDocument/2006/relationships/hyperlink" Target="http://vk.com/nikitanvp" TargetMode="External"/><Relationship Id="rId338" Type="http://schemas.openxmlformats.org/officeDocument/2006/relationships/hyperlink" Target="http://t.me/st_valentines_bot?start=948667655" TargetMode="External"/><Relationship Id="rId216" Type="http://schemas.openxmlformats.org/officeDocument/2006/relationships/hyperlink" Target="http://vk.com/katerinka.dmitrievna" TargetMode="External"/><Relationship Id="rId337" Type="http://schemas.openxmlformats.org/officeDocument/2006/relationships/hyperlink" Target="mailto:tarasova.valeria.2000@gmail.com" TargetMode="External"/><Relationship Id="rId215" Type="http://schemas.openxmlformats.org/officeDocument/2006/relationships/hyperlink" Target="https://vk.com/satasko" TargetMode="External"/><Relationship Id="rId336" Type="http://schemas.openxmlformats.org/officeDocument/2006/relationships/hyperlink" Target="https://vk.com/lerochkasmith" TargetMode="External"/><Relationship Id="rId214" Type="http://schemas.openxmlformats.org/officeDocument/2006/relationships/hyperlink" Target="http://vk.com/kndrvt" TargetMode="External"/><Relationship Id="rId335" Type="http://schemas.openxmlformats.org/officeDocument/2006/relationships/hyperlink" Target="mailto:ShestitkoAV@my.msu.ru" TargetMode="External"/><Relationship Id="rId219" Type="http://schemas.openxmlformats.org/officeDocument/2006/relationships/hyperlink" Target="https://vk.com/npiontkevich" TargetMode="External"/><Relationship Id="rId218" Type="http://schemas.openxmlformats.org/officeDocument/2006/relationships/hyperlink" Target="https://vk.com/id672539403" TargetMode="External"/><Relationship Id="rId339" Type="http://schemas.openxmlformats.org/officeDocument/2006/relationships/hyperlink" Target="https://vk.com/kate.shustova" TargetMode="External"/><Relationship Id="rId330" Type="http://schemas.openxmlformats.org/officeDocument/2006/relationships/hyperlink" Target="https://vk.com/a.sharshavin" TargetMode="External"/><Relationship Id="rId213" Type="http://schemas.openxmlformats.org/officeDocument/2006/relationships/hyperlink" Target="http://vk.com/wiadson" TargetMode="External"/><Relationship Id="rId334" Type="http://schemas.openxmlformats.org/officeDocument/2006/relationships/hyperlink" Target="http://vk.com/alexeyshesh" TargetMode="External"/><Relationship Id="rId212" Type="http://schemas.openxmlformats.org/officeDocument/2006/relationships/hyperlink" Target="https://vk.com/devalde" TargetMode="External"/><Relationship Id="rId333" Type="http://schemas.openxmlformats.org/officeDocument/2006/relationships/hyperlink" Target="https://vk.com/lw2003" TargetMode="External"/><Relationship Id="rId211" Type="http://schemas.openxmlformats.org/officeDocument/2006/relationships/hyperlink" Target="http://vk.com/mudamudamudamudamudamudamudamuda" TargetMode="External"/><Relationship Id="rId332" Type="http://schemas.openxmlformats.org/officeDocument/2006/relationships/hyperlink" Target="http://vk.com/ddshel" TargetMode="External"/><Relationship Id="rId210" Type="http://schemas.openxmlformats.org/officeDocument/2006/relationships/hyperlink" Target="https://vk.com/pansophh" TargetMode="External"/><Relationship Id="rId331" Type="http://schemas.openxmlformats.org/officeDocument/2006/relationships/hyperlink" Target="https://vk.com/sheva_top" TargetMode="External"/><Relationship Id="rId129" Type="http://schemas.openxmlformats.org/officeDocument/2006/relationships/hyperlink" Target="http://vk.com/id148963798" TargetMode="External"/><Relationship Id="rId128" Type="http://schemas.openxmlformats.org/officeDocument/2006/relationships/hyperlink" Target="https://vk.com/ivankadchenko" TargetMode="External"/><Relationship Id="rId249" Type="http://schemas.openxmlformats.org/officeDocument/2006/relationships/hyperlink" Target="http://vk.com/kurbska_ya" TargetMode="External"/><Relationship Id="rId127" Type="http://schemas.openxmlformats.org/officeDocument/2006/relationships/hyperlink" Target="https://vk.com/nadyakaderova" TargetMode="External"/><Relationship Id="rId248" Type="http://schemas.openxmlformats.org/officeDocument/2006/relationships/hyperlink" Target="http://vk.com/id233806456" TargetMode="External"/><Relationship Id="rId126" Type="http://schemas.openxmlformats.org/officeDocument/2006/relationships/hyperlink" Target="http://vk.com/rkabiev" TargetMode="External"/><Relationship Id="rId247" Type="http://schemas.openxmlformats.org/officeDocument/2006/relationships/hyperlink" Target="https://vk.com/id172657559" TargetMode="External"/><Relationship Id="rId121" Type="http://schemas.openxmlformats.org/officeDocument/2006/relationships/hyperlink" Target="https://vk.com/muzhnachas69" TargetMode="External"/><Relationship Id="rId242" Type="http://schemas.openxmlformats.org/officeDocument/2006/relationships/hyperlink" Target="https://vk.com/dr0dina" TargetMode="External"/><Relationship Id="rId120" Type="http://schemas.openxmlformats.org/officeDocument/2006/relationships/hyperlink" Target="https://vk.com/maksimus3" TargetMode="External"/><Relationship Id="rId241" Type="http://schemas.openxmlformats.org/officeDocument/2006/relationships/hyperlink" Target="https://vk.com/id173568941" TargetMode="External"/><Relationship Id="rId240" Type="http://schemas.openxmlformats.org/officeDocument/2006/relationships/hyperlink" Target="https://vk.com/id624920986" TargetMode="External"/><Relationship Id="rId125" Type="http://schemas.openxmlformats.org/officeDocument/2006/relationships/hyperlink" Target="http://vk.com/abyka13" TargetMode="External"/><Relationship Id="rId246" Type="http://schemas.openxmlformats.org/officeDocument/2006/relationships/hyperlink" Target="http://vk.com/hit_that" TargetMode="External"/><Relationship Id="rId124" Type="http://schemas.openxmlformats.org/officeDocument/2006/relationships/hyperlink" Target="https://vk.com/away.php?to=http%3A%2F%2Ft.me%2Fst_valentines_bot%3Fstart%3D412096071&amp;cc_key=" TargetMode="External"/><Relationship Id="rId245" Type="http://schemas.openxmlformats.org/officeDocument/2006/relationships/hyperlink" Target="http://t.me/st_valentines_bot?start=282108153" TargetMode="External"/><Relationship Id="rId123" Type="http://schemas.openxmlformats.org/officeDocument/2006/relationships/hyperlink" Target="http://vk.com/piercinglight" TargetMode="External"/><Relationship Id="rId244" Type="http://schemas.openxmlformats.org/officeDocument/2006/relationships/hyperlink" Target="https://vk.com/fabuloudy" TargetMode="External"/><Relationship Id="rId122" Type="http://schemas.openxmlformats.org/officeDocument/2006/relationships/hyperlink" Target="https://vk.com/id634066284" TargetMode="External"/><Relationship Id="rId243" Type="http://schemas.openxmlformats.org/officeDocument/2006/relationships/hyperlink" Target="http://vk.com/katya_m_romanova" TargetMode="External"/><Relationship Id="rId95" Type="http://schemas.openxmlformats.org/officeDocument/2006/relationships/hyperlink" Target="http://vk.com/id142294381" TargetMode="External"/><Relationship Id="rId94" Type="http://schemas.openxmlformats.org/officeDocument/2006/relationships/hyperlink" Target="http://vk.com/kristinagurtova" TargetMode="External"/><Relationship Id="rId97" Type="http://schemas.openxmlformats.org/officeDocument/2006/relationships/hyperlink" Target="https://vk.com/vladdavidyan" TargetMode="External"/><Relationship Id="rId96" Type="http://schemas.openxmlformats.org/officeDocument/2006/relationships/hyperlink" Target="https://vk.com/vladdavidyan" TargetMode="External"/><Relationship Id="rId99" Type="http://schemas.openxmlformats.org/officeDocument/2006/relationships/hyperlink" Target="http://t.me/st_valentines_bot?start=286068841" TargetMode="External"/><Relationship Id="rId98" Type="http://schemas.openxmlformats.org/officeDocument/2006/relationships/hyperlink" Target="http://vk.com/twetta" TargetMode="External"/><Relationship Id="rId91" Type="http://schemas.openxmlformats.org/officeDocument/2006/relationships/hyperlink" Target="http://vk.com/gm1509" TargetMode="External"/><Relationship Id="rId90" Type="http://schemas.openxmlformats.org/officeDocument/2006/relationships/hyperlink" Target="http://vk.com/lelya_g_a" TargetMode="External"/><Relationship Id="rId93" Type="http://schemas.openxmlformats.org/officeDocument/2006/relationships/hyperlink" Target="http://vk.com/ivangood99" TargetMode="External"/><Relationship Id="rId92" Type="http://schemas.openxmlformats.org/officeDocument/2006/relationships/hyperlink" Target="https://vk.com/ivang2908" TargetMode="External"/><Relationship Id="rId118" Type="http://schemas.openxmlformats.org/officeDocument/2006/relationships/hyperlink" Target="https://vk.com/id120356157" TargetMode="External"/><Relationship Id="rId239" Type="http://schemas.openxmlformats.org/officeDocument/2006/relationships/hyperlink" Target="http://t.me/anonimvalentinbot?start=281812477" TargetMode="External"/><Relationship Id="rId117" Type="http://schemas.openxmlformats.org/officeDocument/2006/relationships/hyperlink" Target="http://vk.com/mr_sab" TargetMode="External"/><Relationship Id="rId238" Type="http://schemas.openxmlformats.org/officeDocument/2006/relationships/hyperlink" Target="http://vk.com/id34758762" TargetMode="External"/><Relationship Id="rId116" Type="http://schemas.openxmlformats.org/officeDocument/2006/relationships/hyperlink" Target="http://vk.com/0kristyz0" TargetMode="External"/><Relationship Id="rId237" Type="http://schemas.openxmlformats.org/officeDocument/2006/relationships/hyperlink" Target="http://t.me/st_valentines_bot?start=281812477" TargetMode="External"/><Relationship Id="rId115" Type="http://schemas.openxmlformats.org/officeDocument/2006/relationships/hyperlink" Target="http://vk.com/id220969522" TargetMode="External"/><Relationship Id="rId236" Type="http://schemas.openxmlformats.org/officeDocument/2006/relationships/hyperlink" Target="mailto:dasharazzhivina2000@gmail.com" TargetMode="External"/><Relationship Id="rId119" Type="http://schemas.openxmlformats.org/officeDocument/2006/relationships/hyperlink" Target="http://vk.com/ingv0rr" TargetMode="External"/><Relationship Id="rId110" Type="http://schemas.openxmlformats.org/officeDocument/2006/relationships/hyperlink" Target="http://vk.com/zavarzin95" TargetMode="External"/><Relationship Id="rId231" Type="http://schemas.openxmlformats.org/officeDocument/2006/relationships/hyperlink" Target="https://vk.com/id717126166" TargetMode="External"/><Relationship Id="rId230" Type="http://schemas.openxmlformats.org/officeDocument/2006/relationships/hyperlink" Target="mailto:PonomarenkoAS@my.msu.ru" TargetMode="External"/><Relationship Id="rId114" Type="http://schemas.openxmlformats.org/officeDocument/2006/relationships/hyperlink" Target="https://vk.com/jzadoroznaja2707" TargetMode="External"/><Relationship Id="rId235" Type="http://schemas.openxmlformats.org/officeDocument/2006/relationships/hyperlink" Target="https://vk.com/estessna" TargetMode="External"/><Relationship Id="rId113" Type="http://schemas.openxmlformats.org/officeDocument/2006/relationships/hyperlink" Target="http://vk.com/tsoimertw" TargetMode="External"/><Relationship Id="rId234" Type="http://schemas.openxmlformats.org/officeDocument/2006/relationships/hyperlink" Target="http://vk.com/id186718378" TargetMode="External"/><Relationship Id="rId112" Type="http://schemas.openxmlformats.org/officeDocument/2006/relationships/hyperlink" Target="http://vk.com/zav906" TargetMode="External"/><Relationship Id="rId233" Type="http://schemas.openxmlformats.org/officeDocument/2006/relationships/hyperlink" Target="https://vk.com/id545055393" TargetMode="External"/><Relationship Id="rId111" Type="http://schemas.openxmlformats.org/officeDocument/2006/relationships/hyperlink" Target="http://vk.com/id341052111" TargetMode="External"/><Relationship Id="rId232" Type="http://schemas.openxmlformats.org/officeDocument/2006/relationships/hyperlink" Target="https://vk.com/id545055699" TargetMode="External"/><Relationship Id="rId305" Type="http://schemas.openxmlformats.org/officeDocument/2006/relationships/hyperlink" Target="https://vk.com/bariron" TargetMode="External"/><Relationship Id="rId304" Type="http://schemas.openxmlformats.org/officeDocument/2006/relationships/hyperlink" Target="mailto:homdanil123@gmail.com" TargetMode="External"/><Relationship Id="rId303" Type="http://schemas.openxmlformats.org/officeDocument/2006/relationships/hyperlink" Target="http://vk.com/id331011848" TargetMode="External"/><Relationship Id="rId302" Type="http://schemas.openxmlformats.org/officeDocument/2006/relationships/hyperlink" Target="http://t.me/anonimvalentinbot?start=466845042" TargetMode="External"/><Relationship Id="rId309" Type="http://schemas.openxmlformats.org/officeDocument/2006/relationships/hyperlink" Target="http://vk.com/just_dy" TargetMode="External"/><Relationship Id="rId308" Type="http://schemas.openxmlformats.org/officeDocument/2006/relationships/hyperlink" Target="http://vk.com/ochochaban" TargetMode="External"/><Relationship Id="rId307" Type="http://schemas.openxmlformats.org/officeDocument/2006/relationships/hyperlink" Target="http://vk.com/jedi314" TargetMode="External"/><Relationship Id="rId306" Type="http://schemas.openxmlformats.org/officeDocument/2006/relationships/hyperlink" Target="http://vk.com/tsvetkov_egor" TargetMode="External"/><Relationship Id="rId301" Type="http://schemas.openxmlformats.org/officeDocument/2006/relationships/hyperlink" Target="http://t.me/st_valentines_bot?start=580389561" TargetMode="External"/><Relationship Id="rId300" Type="http://schemas.openxmlformats.org/officeDocument/2006/relationships/hyperlink" Target="http://vk.com/daryakhomich" TargetMode="External"/><Relationship Id="rId206" Type="http://schemas.openxmlformats.org/officeDocument/2006/relationships/hyperlink" Target="http://vk.com/bitxilore" TargetMode="External"/><Relationship Id="rId327" Type="http://schemas.openxmlformats.org/officeDocument/2006/relationships/hyperlink" Target="https://vk.com/away.php?to=http%3A%2F%2Ft.me%2Fst_valentines_bot%3Fstart%3D800476796&amp;cc_key=" TargetMode="External"/><Relationship Id="rId205" Type="http://schemas.openxmlformats.org/officeDocument/2006/relationships/hyperlink" Target="mailto:tanyaozerova1318@gmail.com" TargetMode="External"/><Relationship Id="rId326" Type="http://schemas.openxmlformats.org/officeDocument/2006/relationships/hyperlink" Target="https://vk.com/arina_shamina" TargetMode="External"/><Relationship Id="rId204" Type="http://schemas.openxmlformats.org/officeDocument/2006/relationships/hyperlink" Target="http://vk.com/cachi13" TargetMode="External"/><Relationship Id="rId325" Type="http://schemas.openxmlformats.org/officeDocument/2006/relationships/hyperlink" Target="http://vk.com/ezhopets" TargetMode="External"/><Relationship Id="rId203" Type="http://schemas.openxmlformats.org/officeDocument/2006/relationships/hyperlink" Target="http://vk.com/edgar21082000" TargetMode="External"/><Relationship Id="rId324" Type="http://schemas.openxmlformats.org/officeDocument/2006/relationships/hyperlink" Target="https://vk.com/jirbim" TargetMode="External"/><Relationship Id="rId209" Type="http://schemas.openxmlformats.org/officeDocument/2006/relationships/hyperlink" Target="https://vk.me/aka_bubashlep" TargetMode="External"/><Relationship Id="rId208" Type="http://schemas.openxmlformats.org/officeDocument/2006/relationships/hyperlink" Target="http://t.me/st_valentines_bot?start=366039992" TargetMode="External"/><Relationship Id="rId329" Type="http://schemas.openxmlformats.org/officeDocument/2006/relationships/hyperlink" Target="https://vk.com/julyashan17" TargetMode="External"/><Relationship Id="rId207" Type="http://schemas.openxmlformats.org/officeDocument/2006/relationships/hyperlink" Target="https://vk.com/carbon6090" TargetMode="External"/><Relationship Id="rId328" Type="http://schemas.openxmlformats.org/officeDocument/2006/relationships/hyperlink" Target="https://vk.com/aleshamsh" TargetMode="External"/><Relationship Id="rId202" Type="http://schemas.openxmlformats.org/officeDocument/2006/relationships/hyperlink" Target="https://vk.com/krispin222" TargetMode="External"/><Relationship Id="rId323" Type="http://schemas.openxmlformats.org/officeDocument/2006/relationships/hyperlink" Target="http://vk.com/sasha.chuma" TargetMode="External"/><Relationship Id="rId201" Type="http://schemas.openxmlformats.org/officeDocument/2006/relationships/hyperlink" Target="http://vk.com/alexandra_nikandrova" TargetMode="External"/><Relationship Id="rId322" Type="http://schemas.openxmlformats.org/officeDocument/2006/relationships/hyperlink" Target="http://t.me/st_valentines_bot?start=388463397" TargetMode="External"/><Relationship Id="rId200" Type="http://schemas.openxmlformats.org/officeDocument/2006/relationships/hyperlink" Target="mailto:nechitailova.dariya@gmail.com" TargetMode="External"/><Relationship Id="rId321" Type="http://schemas.openxmlformats.org/officeDocument/2006/relationships/hyperlink" Target="https://vk.com/wwnlnegor" TargetMode="External"/><Relationship Id="rId320" Type="http://schemas.openxmlformats.org/officeDocument/2006/relationships/hyperlink" Target="http://t.me/anonimvalentinbot?start=452913316" TargetMode="External"/><Relationship Id="rId316" Type="http://schemas.openxmlformats.org/officeDocument/2006/relationships/hyperlink" Target="http://t.me/st_valentines_bot?start=725438903" TargetMode="External"/><Relationship Id="rId315" Type="http://schemas.openxmlformats.org/officeDocument/2006/relationships/hyperlink" Target="http://vk.com/beei_mm" TargetMode="External"/><Relationship Id="rId314" Type="http://schemas.openxmlformats.org/officeDocument/2006/relationships/hyperlink" Target="http://vk.com/mashamakaroshka" TargetMode="External"/><Relationship Id="rId313" Type="http://schemas.openxmlformats.org/officeDocument/2006/relationships/hyperlink" Target="https://vk.com/ann_cherno" TargetMode="External"/><Relationship Id="rId319" Type="http://schemas.openxmlformats.org/officeDocument/2006/relationships/hyperlink" Target="http://t.me/st_valentines_bot?start=144454876" TargetMode="External"/><Relationship Id="rId318" Type="http://schemas.openxmlformats.org/officeDocument/2006/relationships/hyperlink" Target="http://vk.com/toonfag" TargetMode="External"/><Relationship Id="rId317" Type="http://schemas.openxmlformats.org/officeDocument/2006/relationships/hyperlink" Target="http://vk.com/margosha749" TargetMode="External"/><Relationship Id="rId312" Type="http://schemas.openxmlformats.org/officeDocument/2006/relationships/hyperlink" Target="https://vk.com/ioannco" TargetMode="External"/><Relationship Id="rId311" Type="http://schemas.openxmlformats.org/officeDocument/2006/relationships/hyperlink" Target="http://vk.com/nastena.muller" TargetMode="External"/><Relationship Id="rId310" Type="http://schemas.openxmlformats.org/officeDocument/2006/relationships/hyperlink" Target="https://vk.com/dashylik_chv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20.13"/>
    <col customWidth="1" min="3" max="3" width="13.63"/>
    <col customWidth="1" min="4" max="4" width="25.13"/>
    <col customWidth="1" min="5" max="5" width="60.63"/>
    <col customWidth="1" min="6" max="6" width="14.75"/>
    <col customWidth="1" min="7" max="7" width="25.13"/>
    <col customWidth="1" min="8" max="8" width="25.63"/>
    <col customWidth="1" min="9" max="9" width="25.13"/>
    <col customWidth="1" min="10" max="10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tr">
        <f>LEFT(A2,FIND(CHAR(160),SUBSTITUTE(A2," ",CHAR(160),2)) - 1)</f>
        <v>Авагян Армен</v>
      </c>
      <c r="C2" s="3">
        <v>324.0</v>
      </c>
      <c r="D2" s="2" t="s">
        <v>11</v>
      </c>
      <c r="E2" s="2" t="str">
        <f t="array" ref="E2">IF(ISERROR(MATCH(1,INDEX(('Списки блоков'!$B$2:$B986=B2)*(ROW('Списки блоков'!$B$2:$B986)&lt;&gt;ROW('Списки блоков'!$B$3)),0),0)),"","БДНС,")
&amp;IF(ISERROR(MATCH(1,INDEX(('Списки блоков'!$C$2:$C986=B2)*(ROW('Списки блоков'!$C$2:$C986)&lt;&gt;ROW('Списки блоков'!$C$3)),0),0)),"","Видеолаба,")
&amp;IF(ISERROR(MATCH(1,INDEX(('Списки блоков'!$D$2:$D986=B2)*(ROW('Списки блоков'!$D$2:$D986)&lt;&gt;ROW('Списки блоков'!$D$3)),0),0)),"","Декораторы,")
&amp;IF(ISERROR(MATCH(1,INDEX(('Списки блоков'!$E$2:$E986=B2)*(ROW('Списки блоков'!$E$2:$E986)&lt;&gt;ROW('Списки блоков'!$E$3)),0),0)),"","Дизайн,")
&amp;IF(ISERROR(MATCH(1,INDEX(('Списки блоков'!$F$2:$F986=B2)*(ROW('Списки блоков'!$F$2:$F986)&lt;&gt;ROW('Списки блоков'!$F$3)),0),0)),"","Досуг,")
&amp;IF(ISERROR(MATCH(1,INDEX(('Списки блоков'!$G$2:$G986=B2)*(ROW('Списки блоков'!$G$2:$G986)&lt;&gt;ROW('Списки блоков'!$G$3)),0),0)),"","Закупки,")
&amp;IF(ISERROR(MATCH(1,INDEX(('Списки блоков'!$H$2:$H986=B2)*(ROW('Списки блоков'!$H$2:$H986)&lt;&gt;ROW('Списки блоков'!$H$3)),0),0)),"","ИнфоБлок,")
&amp;IF(ISERROR(MATCH(1,INDEX(('Списки блоков'!$I$2:$I986=B2)*(ROW('Списки блоков'!$I$2:$I986)&lt;&gt;ROW('Списки блоков'!$I$3)),0),0)),"","КГ,")
&amp;IF(ISERROR(MATCH(1,INDEX(('Списки блоков'!$J$2:$J986=B2)*(ROW('Списки блоков'!$J$2:$J986)&lt;&gt;ROW('Списки блоков'!$J$3)),0),0)),"","МП,")
&amp;IF(ISERROR(MATCH(1,INDEX(('Списки блоков'!$K$2:$K986=B2)*(ROW('Списки блоков'!$K$2:$K986)&lt;&gt;ROW('Списки блоков'!$K$3)),0),0)),"","Профорги,")
&amp;IF(ISERROR(MATCH(1,INDEX(('Списки блоков'!$L$2:$L986=B2)*(ROW('Списки блоков'!$L$2:$L986)&lt;&gt;ROW('Списки блоков'!$L$3)),0),0)),"","Спонсоры,")
&amp;IF(ISERROR(MATCH(1,INDEX(('Списки блоков'!$M$2:$M986=B2)*(ROW('Списки блоков'!$M$2:$M986)&lt;&gt;ROW('Списки блоков'!$M$3)),0),0)),"","Склад,")
&amp;IF(ISERROR(MATCH(1,INDEX(('Списки блоков'!$N$2:$N986=B2)*(ROW('Списки блоков'!$N$2:$N986)&lt;&gt;ROW('Списки блоков'!$N$3)),0),0)),"","Сценаристы,")
&amp;IF(ISERROR(MATCH(1,INDEX(('Списки блоков'!$O$2:$O986=B2)*(ROW('Списки блоков'!$O$2:$O986)&lt;&gt;ROW('Списки блоков'!$O$3)),0),0)),"","Техники,")
&amp;IF(ISERROR(MATCH(1,INDEX(('Списки блоков'!$P$2:$P986=B2)*(ROW('Списки блоков'!$P$2:$P986)&lt;&gt;ROW('Списки блоков'!$P$3)),0),0)),"","УРС,")
&amp;IF(ISERROR(MATCH(1,INDEX(('Списки блоков'!$Q$2:$Q986=B2)*(ROW('Списки блоков'!$Q$2:$Q986)&lt;&gt;ROW('Списки блоков'!$Q$3)),0),0)),"","Фото,")
&amp;IF(ISERROR(MATCH(1,INDEX((#REF!=B2)*(ROW(#REF!)&lt;&gt;ROW(#REF!)),0),0)),"","ЭкоБлок,")
&amp;IF(ISERROR(MATCH(1,INDEX(('Списки блоков'!$R$2:$R986=B2)*(ROW('Списки блоков'!$R$2:$R986)&lt;&gt;ROW('Списки блоков'!$R$3)),0),0)),"","HR,")
&amp;IF(ISERROR(MATCH(1,INDEX(('Списки блоков'!$S$2:$S986=B2)*(ROW('Списки блоков'!$S$2:$S986)&lt;&gt;ROW('Списки блоков'!$S$3)),0),0)),"","Instagram,")
&amp;IF(ISERROR(MATCH(1,INDEX(('Списки блоков'!$T$2:$T986=B2)*(ROW('Списки блоков'!$T$2:$T986)&lt;&gt;ROW('Списки блоков'!$T$3)),0),0)),"","Zachёt,")
&amp;IF(ISERROR(MATCH(1,INDEX(('Списки блоков'!$U$2:$U986=B2)*(ROW('Списки блоков'!$U$2:$U986)&lt;&gt;ROW('Списки блоков'!$U$3)),0),0)),"","IT,")
&amp;IF(ISERROR(MATCH(1,INDEX(('Списки блоков'!$V$2:$V986=B2)*(ROW('Списки блоков'!$V$2:$V986)&lt;&gt;ROW('Списки блоков'!$V$3)),0),0)),"","ДК,")
</f>
        <v>Склад,Техники,Фото,</v>
      </c>
      <c r="F2" s="4">
        <v>8.9688288304E10</v>
      </c>
      <c r="G2" s="5" t="s">
        <v>12</v>
      </c>
      <c r="H2" s="5" t="s">
        <v>13</v>
      </c>
      <c r="I2" s="2" t="s">
        <v>14</v>
      </c>
      <c r="J2" s="6" t="s">
        <v>15</v>
      </c>
    </row>
    <row r="3">
      <c r="A3" s="7" t="s">
        <v>16</v>
      </c>
      <c r="B3" s="7" t="s">
        <v>17</v>
      </c>
      <c r="C3" s="3">
        <v>318.0</v>
      </c>
      <c r="D3" s="2" t="s">
        <v>18</v>
      </c>
      <c r="E3" s="2" t="str">
        <f t="array" ref="E3">IF(ISERROR(MATCH(1,INDEX(('Списки блоков'!$B$2:$B986=B3)*(ROW('Списки блоков'!$B$2:$B986)&lt;&gt;ROW('Списки блоков'!$B$3)),0),0)),"","БДНС,")
&amp;IF(ISERROR(MATCH(1,INDEX(('Списки блоков'!$C$2:$C986=B3)*(ROW('Списки блоков'!$C$2:$C986)&lt;&gt;ROW('Списки блоков'!$C$3)),0),0)),"","Видеолаба,")
&amp;IF(ISERROR(MATCH(1,INDEX(('Списки блоков'!$D$2:$D986=B3)*(ROW('Списки блоков'!$D$2:$D986)&lt;&gt;ROW('Списки блоков'!$D$3)),0),0)),"","Декораторы,")
&amp;IF(ISERROR(MATCH(1,INDEX(('Списки блоков'!$E$2:$E986=B3)*(ROW('Списки блоков'!$E$2:$E986)&lt;&gt;ROW('Списки блоков'!$E$3)),0),0)),"","Дизайн,")
&amp;IF(ISERROR(MATCH(1,INDEX(('Списки блоков'!$F$2:$F986=B3)*(ROW('Списки блоков'!$F$2:$F986)&lt;&gt;ROW('Списки блоков'!$F$3)),0),0)),"","Досуг,")
&amp;IF(ISERROR(MATCH(1,INDEX(('Списки блоков'!$G$2:$G986=B3)*(ROW('Списки блоков'!$G$2:$G986)&lt;&gt;ROW('Списки блоков'!$G$3)),0),0)),"","Закупки,")
&amp;IF(ISERROR(MATCH(1,INDEX(('Списки блоков'!$H$2:$H986=B3)*(ROW('Списки блоков'!$H$2:$H986)&lt;&gt;ROW('Списки блоков'!$H$3)),0),0)),"","ИнфоБлок,")
&amp;IF(ISERROR(MATCH(1,INDEX(('Списки блоков'!$I$2:$I986=B3)*(ROW('Списки блоков'!$I$2:$I986)&lt;&gt;ROW('Списки блоков'!$I$3)),0),0)),"","КГ,")
&amp;IF(ISERROR(MATCH(1,INDEX(('Списки блоков'!$J$2:$J986=B3)*(ROW('Списки блоков'!$J$2:$J986)&lt;&gt;ROW('Списки блоков'!$J$3)),0),0)),"","МП,")
&amp;IF(ISERROR(MATCH(1,INDEX(('Списки блоков'!$K$2:$K986=B3)*(ROW('Списки блоков'!$K$2:$K986)&lt;&gt;ROW('Списки блоков'!$K$3)),0),0)),"","Профорги,")
&amp;IF(ISERROR(MATCH(1,INDEX(('Списки блоков'!$L$2:$L986=B3)*(ROW('Списки блоков'!$L$2:$L986)&lt;&gt;ROW('Списки блоков'!$L$3)),0),0)),"","Спонсоры,")
&amp;IF(ISERROR(MATCH(1,INDEX(('Списки блоков'!$M$2:$M986=B3)*(ROW('Списки блоков'!$M$2:$M986)&lt;&gt;ROW('Списки блоков'!$M$3)),0),0)),"","Склад,")
&amp;IF(ISERROR(MATCH(1,INDEX(('Списки блоков'!$N$2:$N986=B3)*(ROW('Списки блоков'!$N$2:$N986)&lt;&gt;ROW('Списки блоков'!$N$3)),0),0)),"","Сценаристы,")
&amp;IF(ISERROR(MATCH(1,INDEX(('Списки блоков'!$O$2:$O986=B3)*(ROW('Списки блоков'!$O$2:$O986)&lt;&gt;ROW('Списки блоков'!$O$3)),0),0)),"","Техники,")
&amp;IF(ISERROR(MATCH(1,INDEX(('Списки блоков'!$P$2:$P986=B3)*(ROW('Списки блоков'!$P$2:$P986)&lt;&gt;ROW('Списки блоков'!$P$3)),0),0)),"","УРС,")
&amp;IF(ISERROR(MATCH(1,INDEX(('Списки блоков'!$Q$2:$Q986=B3)*(ROW('Списки блоков'!$Q$2:$Q986)&lt;&gt;ROW('Списки блоков'!$Q$3)),0),0)),"","Фото,")
&amp;IF(ISERROR(MATCH(1,INDEX((#REF!=B3)*(ROW(#REF!)&lt;&gt;ROW(#REF!)),0),0)),"","ЭкоБлок,")
&amp;IF(ISERROR(MATCH(1,INDEX(('Списки блоков'!$R$2:$R986=B3)*(ROW('Списки блоков'!$R$2:$R986)&lt;&gt;ROW('Списки блоков'!$R$3)),0),0)),"","HR,")
&amp;IF(ISERROR(MATCH(1,INDEX(('Списки блоков'!$S$2:$S986=B3)*(ROW('Списки блоков'!$S$2:$S986)&lt;&gt;ROW('Списки блоков'!$S$3)),0),0)),"","Instagram,")
&amp;IF(ISERROR(MATCH(1,INDEX(('Списки блоков'!$T$2:$T986=B3)*(ROW('Списки блоков'!$T$2:$T986)&lt;&gt;ROW('Списки блоков'!$T$3)),0),0)),"","Zachёt,")
&amp;IF(ISERROR(MATCH(1,INDEX(('Списки блоков'!$U$2:$U986=B3)*(ROW('Списки блоков'!$U$2:$U986)&lt;&gt;ROW('Списки блоков'!$U$3)),0),0)),"","IT,")
&amp;IF(ISERROR(MATCH(1,INDEX(('Списки блоков'!$V$2:$V986=B3)*(ROW('Списки блоков'!$V$2:$V986)&lt;&gt;ROW('Списки блоков'!$V$3)),0),0)),"","ДК,")
</f>
        <v>Видеолаба,Декораторы,Дизайн,Склад,Сценаристы,УРС,Фото,HR,IT,ДК,</v>
      </c>
      <c r="F3" s="8">
        <v>8.9163567797E10</v>
      </c>
      <c r="G3" s="5" t="s">
        <v>19</v>
      </c>
      <c r="H3" s="2" t="s">
        <v>20</v>
      </c>
      <c r="I3" s="2" t="s">
        <v>21</v>
      </c>
      <c r="J3" s="7" t="s">
        <v>22</v>
      </c>
    </row>
    <row r="4">
      <c r="A4" s="6" t="s">
        <v>23</v>
      </c>
      <c r="B4" s="7" t="s">
        <v>24</v>
      </c>
      <c r="C4" s="9">
        <v>215.0</v>
      </c>
      <c r="D4" s="10" t="s">
        <v>25</v>
      </c>
      <c r="E4" s="2" t="str">
        <f t="array" ref="E4">IF(ISERROR(MATCH(1,INDEX(('Списки блоков'!$B$2:$B986=B4)*(ROW('Списки блоков'!$B$2:$B986)&lt;&gt;ROW('Списки блоков'!$B$3)),0),0)),"","БДНС,")
&amp;IF(ISERROR(MATCH(1,INDEX(('Списки блоков'!$C$2:$C986=B4)*(ROW('Списки блоков'!$C$2:$C986)&lt;&gt;ROW('Списки блоков'!$C$3)),0),0)),"","Видеолаба,")
&amp;IF(ISERROR(MATCH(1,INDEX(('Списки блоков'!$D$2:$D986=B4)*(ROW('Списки блоков'!$D$2:$D986)&lt;&gt;ROW('Списки блоков'!$D$3)),0),0)),"","Декораторы,")
&amp;IF(ISERROR(MATCH(1,INDEX(('Списки блоков'!$E$2:$E986=B4)*(ROW('Списки блоков'!$E$2:$E986)&lt;&gt;ROW('Списки блоков'!$E$3)),0),0)),"","Дизайн,")
&amp;IF(ISERROR(MATCH(1,INDEX(('Списки блоков'!$F$2:$F986=B4)*(ROW('Списки блоков'!$F$2:$F986)&lt;&gt;ROW('Списки блоков'!$F$3)),0),0)),"","Досуг,")
&amp;IF(ISERROR(MATCH(1,INDEX(('Списки блоков'!$G$2:$G986=B4)*(ROW('Списки блоков'!$G$2:$G986)&lt;&gt;ROW('Списки блоков'!$G$3)),0),0)),"","Закупки,")
&amp;IF(ISERROR(MATCH(1,INDEX(('Списки блоков'!$H$2:$H986=B4)*(ROW('Списки блоков'!$H$2:$H986)&lt;&gt;ROW('Списки блоков'!$H$3)),0),0)),"","ИнфоБлок,")
&amp;IF(ISERROR(MATCH(1,INDEX(('Списки блоков'!$I$2:$I986=B4)*(ROW('Списки блоков'!$I$2:$I986)&lt;&gt;ROW('Списки блоков'!$I$3)),0),0)),"","КГ,")
&amp;IF(ISERROR(MATCH(1,INDEX(('Списки блоков'!$J$2:$J986=B4)*(ROW('Списки блоков'!$J$2:$J986)&lt;&gt;ROW('Списки блоков'!$J$3)),0),0)),"","МП,")
&amp;IF(ISERROR(MATCH(1,INDEX(('Списки блоков'!$K$2:$K986=B4)*(ROW('Списки блоков'!$K$2:$K986)&lt;&gt;ROW('Списки блоков'!$K$3)),0),0)),"","Профорги,")
&amp;IF(ISERROR(MATCH(1,INDEX(('Списки блоков'!$L$2:$L986=B4)*(ROW('Списки блоков'!$L$2:$L986)&lt;&gt;ROW('Списки блоков'!$L$3)),0),0)),"","Спонсоры,")
&amp;IF(ISERROR(MATCH(1,INDEX(('Списки блоков'!$M$2:$M986=B4)*(ROW('Списки блоков'!$M$2:$M986)&lt;&gt;ROW('Списки блоков'!$M$3)),0),0)),"","Склад,")
&amp;IF(ISERROR(MATCH(1,INDEX(('Списки блоков'!$N$2:$N986=B4)*(ROW('Списки блоков'!$N$2:$N986)&lt;&gt;ROW('Списки блоков'!$N$3)),0),0)),"","Сценаристы,")
&amp;IF(ISERROR(MATCH(1,INDEX(('Списки блоков'!$O$2:$O986=B4)*(ROW('Списки блоков'!$O$2:$O986)&lt;&gt;ROW('Списки блоков'!$O$3)),0),0)),"","Техники,")
&amp;IF(ISERROR(MATCH(1,INDEX(('Списки блоков'!$P$2:$P986=B4)*(ROW('Списки блоков'!$P$2:$P986)&lt;&gt;ROW('Списки блоков'!$P$3)),0),0)),"","УРС,")
&amp;IF(ISERROR(MATCH(1,INDEX(('Списки блоков'!$Q$2:$Q986=B4)*(ROW('Списки блоков'!$Q$2:$Q986)&lt;&gt;ROW('Списки блоков'!$Q$3)),0),0)),"","Фото,")
&amp;IF(ISERROR(MATCH(1,INDEX((#REF!=B4)*(ROW(#REF!)&lt;&gt;ROW(#REF!)),0),0)),"","ЭкоБлок,")
&amp;IF(ISERROR(MATCH(1,INDEX(('Списки блоков'!$R$2:$R986=B4)*(ROW('Списки блоков'!$R$2:$R986)&lt;&gt;ROW('Списки блоков'!$R$3)),0),0)),"","HR,")
&amp;IF(ISERROR(MATCH(1,INDEX(('Списки блоков'!$S$2:$S986=B4)*(ROW('Списки блоков'!$S$2:$S986)&lt;&gt;ROW('Списки блоков'!$S$3)),0),0)),"","Instagram,")
&amp;IF(ISERROR(MATCH(1,INDEX(('Списки блоков'!$T$2:$T986=B4)*(ROW('Списки блоков'!$T$2:$T986)&lt;&gt;ROW('Списки блоков'!$T$3)),0),0)),"","Zachёt,")
&amp;IF(ISERROR(MATCH(1,INDEX(('Списки блоков'!$U$2:$U986=B4)*(ROW('Списки блоков'!$U$2:$U986)&lt;&gt;ROW('Списки блоков'!$U$3)),0),0)),"","IT,")
&amp;IF(ISERROR(MATCH(1,INDEX(('Списки блоков'!$V$2:$V986=B4)*(ROW('Списки блоков'!$V$2:$V986)&lt;&gt;ROW('Списки блоков'!$V$3)),0),0)),"","ДК,")
</f>
        <v>МП,</v>
      </c>
      <c r="F4" s="11">
        <v>8.9639224348E10</v>
      </c>
      <c r="G4" s="12" t="s">
        <v>26</v>
      </c>
      <c r="H4" s="12" t="s">
        <v>27</v>
      </c>
      <c r="I4" s="10" t="s">
        <v>28</v>
      </c>
      <c r="J4" s="6" t="s">
        <v>22</v>
      </c>
    </row>
    <row r="5">
      <c r="A5" s="2" t="s">
        <v>29</v>
      </c>
      <c r="B5" s="2" t="str">
        <f t="shared" ref="B5:B13" si="1">LEFT(A5,FIND(CHAR(160),SUBSTITUTE(A5," ",CHAR(160),2)) - 1)</f>
        <v>Альтерман Лев</v>
      </c>
      <c r="C5" s="3">
        <v>530.0</v>
      </c>
      <c r="D5" s="2" t="s">
        <v>30</v>
      </c>
      <c r="E5" s="2" t="str">
        <f t="array" ref="E5">IF(ISERROR(MATCH(1,INDEX(('Списки блоков'!$B$2:$B986=B5)*(ROW('Списки блоков'!$B$2:$B986)&lt;&gt;ROW('Списки блоков'!$B$3)),0),0)),"","БДНС,")
&amp;IF(ISERROR(MATCH(1,INDEX(('Списки блоков'!$C$2:$C986=B5)*(ROW('Списки блоков'!$C$2:$C986)&lt;&gt;ROW('Списки блоков'!$C$3)),0),0)),"","Видеолаба,")
&amp;IF(ISERROR(MATCH(1,INDEX(('Списки блоков'!$D$2:$D986=B5)*(ROW('Списки блоков'!$D$2:$D986)&lt;&gt;ROW('Списки блоков'!$D$3)),0),0)),"","Декораторы,")
&amp;IF(ISERROR(MATCH(1,INDEX(('Списки блоков'!$E$2:$E986=B5)*(ROW('Списки блоков'!$E$2:$E986)&lt;&gt;ROW('Списки блоков'!$E$3)),0),0)),"","Дизайн,")
&amp;IF(ISERROR(MATCH(1,INDEX(('Списки блоков'!$F$2:$F986=B5)*(ROW('Списки блоков'!$F$2:$F986)&lt;&gt;ROW('Списки блоков'!$F$3)),0),0)),"","Досуг,")
&amp;IF(ISERROR(MATCH(1,INDEX(('Списки блоков'!$G$2:$G986=B5)*(ROW('Списки блоков'!$G$2:$G986)&lt;&gt;ROW('Списки блоков'!$G$3)),0),0)),"","Закупки,")
&amp;IF(ISERROR(MATCH(1,INDEX(('Списки блоков'!$H$2:$H986=B5)*(ROW('Списки блоков'!$H$2:$H986)&lt;&gt;ROW('Списки блоков'!$H$3)),0),0)),"","ИнфоБлок,")
&amp;IF(ISERROR(MATCH(1,INDEX(('Списки блоков'!$I$2:$I986=B5)*(ROW('Списки блоков'!$I$2:$I986)&lt;&gt;ROW('Списки блоков'!$I$3)),0),0)),"","КГ,")
&amp;IF(ISERROR(MATCH(1,INDEX(('Списки блоков'!$J$2:$J986=B5)*(ROW('Списки блоков'!$J$2:$J986)&lt;&gt;ROW('Списки блоков'!$J$3)),0),0)),"","МП,")
&amp;IF(ISERROR(MATCH(1,INDEX(('Списки блоков'!$K$2:$K986=B5)*(ROW('Списки блоков'!$K$2:$K986)&lt;&gt;ROW('Списки блоков'!$K$3)),0),0)),"","Профорги,")
&amp;IF(ISERROR(MATCH(1,INDEX(('Списки блоков'!$L$2:$L986=B5)*(ROW('Списки блоков'!$L$2:$L986)&lt;&gt;ROW('Списки блоков'!$L$3)),0),0)),"","Спонсоры,")
&amp;IF(ISERROR(MATCH(1,INDEX(('Списки блоков'!$M$2:$M986=B5)*(ROW('Списки блоков'!$M$2:$M986)&lt;&gt;ROW('Списки блоков'!$M$3)),0),0)),"","Склад,")
&amp;IF(ISERROR(MATCH(1,INDEX(('Списки блоков'!$N$2:$N986=B5)*(ROW('Списки блоков'!$N$2:$N986)&lt;&gt;ROW('Списки блоков'!$N$3)),0),0)),"","Сценаристы,")
&amp;IF(ISERROR(MATCH(1,INDEX(('Списки блоков'!$O$2:$O986=B5)*(ROW('Списки блоков'!$O$2:$O986)&lt;&gt;ROW('Списки блоков'!$O$3)),0),0)),"","Техники,")
&amp;IF(ISERROR(MATCH(1,INDEX(('Списки блоков'!$P$2:$P986=B5)*(ROW('Списки блоков'!$P$2:$P986)&lt;&gt;ROW('Списки блоков'!$P$3)),0),0)),"","УРС,")
&amp;IF(ISERROR(MATCH(1,INDEX(('Списки блоков'!$Q$2:$Q986=B5)*(ROW('Списки блоков'!$Q$2:$Q986)&lt;&gt;ROW('Списки блоков'!$Q$3)),0),0)),"","Фото,")
&amp;IF(ISERROR(MATCH(1,INDEX((#REF!=B5)*(ROW(#REF!)&lt;&gt;ROW(#REF!)),0),0)),"","ЭкоБлок,")
&amp;IF(ISERROR(MATCH(1,INDEX(('Списки блоков'!$R$2:$R986=B5)*(ROW('Списки блоков'!$R$2:$R986)&lt;&gt;ROW('Списки блоков'!$R$3)),0),0)),"","HR,")
&amp;IF(ISERROR(MATCH(1,INDEX(('Списки блоков'!$S$2:$S986=B5)*(ROW('Списки блоков'!$S$2:$S986)&lt;&gt;ROW('Списки блоков'!$S$3)),0),0)),"","Instagram,")
&amp;IF(ISERROR(MATCH(1,INDEX(('Списки блоков'!$T$2:$T986=B5)*(ROW('Списки блоков'!$T$2:$T986)&lt;&gt;ROW('Списки блоков'!$T$3)),0),0)),"","Zachёt,")
&amp;IF(ISERROR(MATCH(1,INDEX(('Списки блоков'!$U$2:$U986=B5)*(ROW('Списки блоков'!$U$2:$U986)&lt;&gt;ROW('Списки блоков'!$U$3)),0),0)),"","IT,")
&amp;IF(ISERROR(MATCH(1,INDEX(('Списки блоков'!$V$2:$V986=B5)*(ROW('Списки блоков'!$V$2:$V986)&lt;&gt;ROW('Списки блоков'!$V$3)),0),0)),"","ДК,")
</f>
        <v>Закупки,Спонсоры,Фото,Instagram,</v>
      </c>
      <c r="F5" s="4">
        <v>8.9163819339E10</v>
      </c>
      <c r="G5" s="5" t="s">
        <v>31</v>
      </c>
      <c r="H5" s="5" t="s">
        <v>32</v>
      </c>
      <c r="I5" s="2" t="s">
        <v>33</v>
      </c>
      <c r="J5" s="7" t="s">
        <v>22</v>
      </c>
    </row>
    <row r="6">
      <c r="A6" s="10" t="s">
        <v>34</v>
      </c>
      <c r="B6" s="2" t="str">
        <f t="shared" si="1"/>
        <v>Андреев Илья</v>
      </c>
      <c r="C6" s="9">
        <v>324.0</v>
      </c>
      <c r="D6" s="10" t="s">
        <v>35</v>
      </c>
      <c r="E6" s="2" t="str">
        <f t="array" ref="E6">IF(ISERROR(MATCH(1,INDEX(('Списки блоков'!$B$2:$B986=B6)*(ROW('Списки блоков'!$B$2:$B986)&lt;&gt;ROW('Списки блоков'!$B$3)),0),0)),"","БДНС,")
&amp;IF(ISERROR(MATCH(1,INDEX(('Списки блоков'!$C$2:$C986=B6)*(ROW('Списки блоков'!$C$2:$C986)&lt;&gt;ROW('Списки блоков'!$C$3)),0),0)),"","Видеолаба,")
&amp;IF(ISERROR(MATCH(1,INDEX(('Списки блоков'!$D$2:$D986=B6)*(ROW('Списки блоков'!$D$2:$D986)&lt;&gt;ROW('Списки блоков'!$D$3)),0),0)),"","Декораторы,")
&amp;IF(ISERROR(MATCH(1,INDEX(('Списки блоков'!$E$2:$E986=B6)*(ROW('Списки блоков'!$E$2:$E986)&lt;&gt;ROW('Списки блоков'!$E$3)),0),0)),"","Дизайн,")
&amp;IF(ISERROR(MATCH(1,INDEX(('Списки блоков'!$F$2:$F986=B6)*(ROW('Списки блоков'!$F$2:$F986)&lt;&gt;ROW('Списки блоков'!$F$3)),0),0)),"","Досуг,")
&amp;IF(ISERROR(MATCH(1,INDEX(('Списки блоков'!$G$2:$G986=B6)*(ROW('Списки блоков'!$G$2:$G986)&lt;&gt;ROW('Списки блоков'!$G$3)),0),0)),"","Закупки,")
&amp;IF(ISERROR(MATCH(1,INDEX(('Списки блоков'!$H$2:$H986=B6)*(ROW('Списки блоков'!$H$2:$H986)&lt;&gt;ROW('Списки блоков'!$H$3)),0),0)),"","ИнфоБлок,")
&amp;IF(ISERROR(MATCH(1,INDEX(('Списки блоков'!$I$2:$I986=B6)*(ROW('Списки блоков'!$I$2:$I986)&lt;&gt;ROW('Списки блоков'!$I$3)),0),0)),"","КГ,")
&amp;IF(ISERROR(MATCH(1,INDEX(('Списки блоков'!$J$2:$J986=B6)*(ROW('Списки блоков'!$J$2:$J986)&lt;&gt;ROW('Списки блоков'!$J$3)),0),0)),"","МП,")
&amp;IF(ISERROR(MATCH(1,INDEX(('Списки блоков'!$K$2:$K986=B6)*(ROW('Списки блоков'!$K$2:$K986)&lt;&gt;ROW('Списки блоков'!$K$3)),0),0)),"","Профорги,")
&amp;IF(ISERROR(MATCH(1,INDEX(('Списки блоков'!$L$2:$L986=B6)*(ROW('Списки блоков'!$L$2:$L986)&lt;&gt;ROW('Списки блоков'!$L$3)),0),0)),"","Спонсоры,")
&amp;IF(ISERROR(MATCH(1,INDEX(('Списки блоков'!$M$2:$M986=B6)*(ROW('Списки блоков'!$M$2:$M986)&lt;&gt;ROW('Списки блоков'!$M$3)),0),0)),"","Склад,")
&amp;IF(ISERROR(MATCH(1,INDEX(('Списки блоков'!$N$2:$N986=B6)*(ROW('Списки блоков'!$N$2:$N986)&lt;&gt;ROW('Списки блоков'!$N$3)),0),0)),"","Сценаристы,")
&amp;IF(ISERROR(MATCH(1,INDEX(('Списки блоков'!$O$2:$O986=B6)*(ROW('Списки блоков'!$O$2:$O986)&lt;&gt;ROW('Списки блоков'!$O$3)),0),0)),"","Техники,")
&amp;IF(ISERROR(MATCH(1,INDEX(('Списки блоков'!$P$2:$P986=B6)*(ROW('Списки блоков'!$P$2:$P986)&lt;&gt;ROW('Списки блоков'!$P$3)),0),0)),"","УРС,")
&amp;IF(ISERROR(MATCH(1,INDEX(('Списки блоков'!$Q$2:$Q986=B6)*(ROW('Списки блоков'!$Q$2:$Q986)&lt;&gt;ROW('Списки блоков'!$Q$3)),0),0)),"","Фото,")
&amp;IF(ISERROR(MATCH(1,INDEX((#REF!=B6)*(ROW(#REF!)&lt;&gt;ROW(#REF!)),0),0)),"","ЭкоБлок,")
&amp;IF(ISERROR(MATCH(1,INDEX(('Списки блоков'!$R$2:$R986=B6)*(ROW('Списки блоков'!$R$2:$R986)&lt;&gt;ROW('Списки блоков'!$R$3)),0),0)),"","HR,")
&amp;IF(ISERROR(MATCH(1,INDEX(('Списки блоков'!$S$2:$S986=B6)*(ROW('Списки блоков'!$S$2:$S986)&lt;&gt;ROW('Списки блоков'!$S$3)),0),0)),"","Instagram,")
&amp;IF(ISERROR(MATCH(1,INDEX(('Списки блоков'!$T$2:$T986=B6)*(ROW('Списки блоков'!$T$2:$T986)&lt;&gt;ROW('Списки блоков'!$T$3)),0),0)),"","Zachёt,")
&amp;IF(ISERROR(MATCH(1,INDEX(('Списки блоков'!$U$2:$U986=B6)*(ROW('Списки блоков'!$U$2:$U986)&lt;&gt;ROW('Списки блоков'!$U$3)),0),0)),"","IT,")
&amp;IF(ISERROR(MATCH(1,INDEX(('Списки блоков'!$V$2:$V986=B6)*(ROW('Списки блоков'!$V$2:$V986)&lt;&gt;ROW('Списки блоков'!$V$3)),0),0)),"","ДК,")
</f>
        <v>Сценаристы,Фото,</v>
      </c>
      <c r="F6" s="11">
        <v>8.9858741573E10</v>
      </c>
      <c r="G6" s="12" t="s">
        <v>36</v>
      </c>
      <c r="H6" s="10" t="s">
        <v>37</v>
      </c>
      <c r="I6" s="10" t="s">
        <v>38</v>
      </c>
      <c r="J6" s="6" t="s">
        <v>15</v>
      </c>
    </row>
    <row r="7">
      <c r="A7" s="7" t="s">
        <v>39</v>
      </c>
      <c r="B7" s="2" t="str">
        <f t="shared" si="1"/>
        <v>Андреева Елена</v>
      </c>
      <c r="C7" s="3">
        <v>424.0</v>
      </c>
      <c r="D7" s="2" t="s">
        <v>40</v>
      </c>
      <c r="E7" s="2" t="str">
        <f t="array" ref="E7">IF(ISERROR(MATCH(1,INDEX(('Списки блоков'!$B$2:$B986=B7)*(ROW('Списки блоков'!$B$2:$B986)&lt;&gt;ROW('Списки блоков'!$B$3)),0),0)),"","БДНС,")
&amp;IF(ISERROR(MATCH(1,INDEX(('Списки блоков'!$C$2:$C986=B7)*(ROW('Списки блоков'!$C$2:$C986)&lt;&gt;ROW('Списки блоков'!$C$3)),0),0)),"","Видеолаба,")
&amp;IF(ISERROR(MATCH(1,INDEX(('Списки блоков'!$D$2:$D986=B7)*(ROW('Списки блоков'!$D$2:$D986)&lt;&gt;ROW('Списки блоков'!$D$3)),0),0)),"","Декораторы,")
&amp;IF(ISERROR(MATCH(1,INDEX(('Списки блоков'!$E$2:$E986=B7)*(ROW('Списки блоков'!$E$2:$E986)&lt;&gt;ROW('Списки блоков'!$E$3)),0),0)),"","Дизайн,")
&amp;IF(ISERROR(MATCH(1,INDEX(('Списки блоков'!$F$2:$F986=B7)*(ROW('Списки блоков'!$F$2:$F986)&lt;&gt;ROW('Списки блоков'!$F$3)),0),0)),"","Досуг,")
&amp;IF(ISERROR(MATCH(1,INDEX(('Списки блоков'!$G$2:$G986=B7)*(ROW('Списки блоков'!$G$2:$G986)&lt;&gt;ROW('Списки блоков'!$G$3)),0),0)),"","Закупки,")
&amp;IF(ISERROR(MATCH(1,INDEX(('Списки блоков'!$H$2:$H986=B7)*(ROW('Списки блоков'!$H$2:$H986)&lt;&gt;ROW('Списки блоков'!$H$3)),0),0)),"","ИнфоБлок,")
&amp;IF(ISERROR(MATCH(1,INDEX(('Списки блоков'!$I$2:$I986=B7)*(ROW('Списки блоков'!$I$2:$I986)&lt;&gt;ROW('Списки блоков'!$I$3)),0),0)),"","КГ,")
&amp;IF(ISERROR(MATCH(1,INDEX(('Списки блоков'!$J$2:$J986=B7)*(ROW('Списки блоков'!$J$2:$J986)&lt;&gt;ROW('Списки блоков'!$J$3)),0),0)),"","МП,")
&amp;IF(ISERROR(MATCH(1,INDEX(('Списки блоков'!$K$2:$K986=B7)*(ROW('Списки блоков'!$K$2:$K986)&lt;&gt;ROW('Списки блоков'!$K$3)),0),0)),"","Профорги,")
&amp;IF(ISERROR(MATCH(1,INDEX(('Списки блоков'!$L$2:$L986=B7)*(ROW('Списки блоков'!$L$2:$L986)&lt;&gt;ROW('Списки блоков'!$L$3)),0),0)),"","Спонсоры,")
&amp;IF(ISERROR(MATCH(1,INDEX(('Списки блоков'!$M$2:$M986=B7)*(ROW('Списки блоков'!$M$2:$M986)&lt;&gt;ROW('Списки блоков'!$M$3)),0),0)),"","Склад,")
&amp;IF(ISERROR(MATCH(1,INDEX(('Списки блоков'!$N$2:$N986=B7)*(ROW('Списки блоков'!$N$2:$N986)&lt;&gt;ROW('Списки блоков'!$N$3)),0),0)),"","Сценаристы,")
&amp;IF(ISERROR(MATCH(1,INDEX(('Списки блоков'!$O$2:$O986=B7)*(ROW('Списки блоков'!$O$2:$O986)&lt;&gt;ROW('Списки блоков'!$O$3)),0),0)),"","Техники,")
&amp;IF(ISERROR(MATCH(1,INDEX(('Списки блоков'!$P$2:$P986=B7)*(ROW('Списки блоков'!$P$2:$P986)&lt;&gt;ROW('Списки блоков'!$P$3)),0),0)),"","УРС,")
&amp;IF(ISERROR(MATCH(1,INDEX(('Списки блоков'!$Q$2:$Q986=B7)*(ROW('Списки блоков'!$Q$2:$Q986)&lt;&gt;ROW('Списки блоков'!$Q$3)),0),0)),"","Фото,")
&amp;IF(ISERROR(MATCH(1,INDEX((#REF!=B7)*(ROW(#REF!)&lt;&gt;ROW(#REF!)),0),0)),"","ЭкоБлок,")
&amp;IF(ISERROR(MATCH(1,INDEX(('Списки блоков'!$R$2:$R986=B7)*(ROW('Списки блоков'!$R$2:$R986)&lt;&gt;ROW('Списки блоков'!$R$3)),0),0)),"","HR,")
&amp;IF(ISERROR(MATCH(1,INDEX(('Списки блоков'!$S$2:$S986=B7)*(ROW('Списки блоков'!$S$2:$S986)&lt;&gt;ROW('Списки блоков'!$S$3)),0),0)),"","Instagram,")
&amp;IF(ISERROR(MATCH(1,INDEX(('Списки блоков'!$T$2:$T986=B7)*(ROW('Списки блоков'!$T$2:$T986)&lt;&gt;ROW('Списки блоков'!$T$3)),0),0)),"","Zachёt,")
&amp;IF(ISERROR(MATCH(1,INDEX(('Списки блоков'!$U$2:$U986=B7)*(ROW('Списки блоков'!$U$2:$U986)&lt;&gt;ROW('Списки блоков'!$U$3)),0),0)),"","IT,")
&amp;IF(ISERROR(MATCH(1,INDEX(('Списки блоков'!$V$2:$V986=B7)*(ROW('Списки блоков'!$V$2:$V986)&lt;&gt;ROW('Списки блоков'!$V$3)),0),0)),"","ДК,")
</f>
        <v>Декораторы,УРС,</v>
      </c>
      <c r="F7" s="4">
        <v>8.9872218408E10</v>
      </c>
      <c r="G7" s="5" t="s">
        <v>41</v>
      </c>
      <c r="H7" s="13" t="s">
        <v>42</v>
      </c>
      <c r="I7" s="2" t="s">
        <v>43</v>
      </c>
      <c r="J7" s="7" t="s">
        <v>22</v>
      </c>
    </row>
    <row r="8">
      <c r="A8" s="7" t="s">
        <v>44</v>
      </c>
      <c r="B8" s="2" t="str">
        <f t="shared" si="1"/>
        <v>Андреков Егор</v>
      </c>
      <c r="C8" s="3">
        <v>212.0</v>
      </c>
      <c r="D8" s="2" t="s">
        <v>45</v>
      </c>
      <c r="E8" s="2" t="str">
        <f t="array" ref="E8">IF(ISERROR(MATCH(1,INDEX(('Списки блоков'!$B$2:$B986=B8)*(ROW('Списки блоков'!$B$2:$B986)&lt;&gt;ROW('Списки блоков'!$B$3)),0),0)),"","БДНС,")
&amp;IF(ISERROR(MATCH(1,INDEX(('Списки блоков'!$C$2:$C986=B8)*(ROW('Списки блоков'!$C$2:$C986)&lt;&gt;ROW('Списки блоков'!$C$3)),0),0)),"","Видеолаба,")
&amp;IF(ISERROR(MATCH(1,INDEX(('Списки блоков'!$D$2:$D986=B8)*(ROW('Списки блоков'!$D$2:$D986)&lt;&gt;ROW('Списки блоков'!$D$3)),0),0)),"","Декораторы,")
&amp;IF(ISERROR(MATCH(1,INDEX(('Списки блоков'!$E$2:$E986=B8)*(ROW('Списки блоков'!$E$2:$E986)&lt;&gt;ROW('Списки блоков'!$E$3)),0),0)),"","Дизайн,")
&amp;IF(ISERROR(MATCH(1,INDEX(('Списки блоков'!$F$2:$F986=B8)*(ROW('Списки блоков'!$F$2:$F986)&lt;&gt;ROW('Списки блоков'!$F$3)),0),0)),"","Досуг,")
&amp;IF(ISERROR(MATCH(1,INDEX(('Списки блоков'!$G$2:$G986=B8)*(ROW('Списки блоков'!$G$2:$G986)&lt;&gt;ROW('Списки блоков'!$G$3)),0),0)),"","Закупки,")
&amp;IF(ISERROR(MATCH(1,INDEX(('Списки блоков'!$H$2:$H986=B8)*(ROW('Списки блоков'!$H$2:$H986)&lt;&gt;ROW('Списки блоков'!$H$3)),0),0)),"","ИнфоБлок,")
&amp;IF(ISERROR(MATCH(1,INDEX(('Списки блоков'!$I$2:$I986=B8)*(ROW('Списки блоков'!$I$2:$I986)&lt;&gt;ROW('Списки блоков'!$I$3)),0),0)),"","КГ,")
&amp;IF(ISERROR(MATCH(1,INDEX(('Списки блоков'!$J$2:$J986=B8)*(ROW('Списки блоков'!$J$2:$J986)&lt;&gt;ROW('Списки блоков'!$J$3)),0),0)),"","МП,")
&amp;IF(ISERROR(MATCH(1,INDEX(('Списки блоков'!$K$2:$K986=B8)*(ROW('Списки блоков'!$K$2:$K986)&lt;&gt;ROW('Списки блоков'!$K$3)),0),0)),"","Профорги,")
&amp;IF(ISERROR(MATCH(1,INDEX(('Списки блоков'!$L$2:$L986=B8)*(ROW('Списки блоков'!$L$2:$L986)&lt;&gt;ROW('Списки блоков'!$L$3)),0),0)),"","Спонсоры,")
&amp;IF(ISERROR(MATCH(1,INDEX(('Списки блоков'!$M$2:$M986=B8)*(ROW('Списки блоков'!$M$2:$M986)&lt;&gt;ROW('Списки блоков'!$M$3)),0),0)),"","Склад,")
&amp;IF(ISERROR(MATCH(1,INDEX(('Списки блоков'!$N$2:$N986=B8)*(ROW('Списки блоков'!$N$2:$N986)&lt;&gt;ROW('Списки блоков'!$N$3)),0),0)),"","Сценаристы,")
&amp;IF(ISERROR(MATCH(1,INDEX(('Списки блоков'!$O$2:$O986=B8)*(ROW('Списки блоков'!$O$2:$O986)&lt;&gt;ROW('Списки блоков'!$O$3)),0),0)),"","Техники,")
&amp;IF(ISERROR(MATCH(1,INDEX(('Списки блоков'!$P$2:$P986=B8)*(ROW('Списки блоков'!$P$2:$P986)&lt;&gt;ROW('Списки блоков'!$P$3)),0),0)),"","УРС,")
&amp;IF(ISERROR(MATCH(1,INDEX(('Списки блоков'!$Q$2:$Q986=B8)*(ROW('Списки блоков'!$Q$2:$Q986)&lt;&gt;ROW('Списки блоков'!$Q$3)),0),0)),"","Фото,")
&amp;IF(ISERROR(MATCH(1,INDEX((#REF!=B8)*(ROW(#REF!)&lt;&gt;ROW(#REF!)),0),0)),"","ЭкоБлок,")
&amp;IF(ISERROR(MATCH(1,INDEX(('Списки блоков'!$R$2:$R986=B8)*(ROW('Списки блоков'!$R$2:$R986)&lt;&gt;ROW('Списки блоков'!$R$3)),0),0)),"","HR,")
&amp;IF(ISERROR(MATCH(1,INDEX(('Списки блоков'!$S$2:$S986=B8)*(ROW('Списки блоков'!$S$2:$S986)&lt;&gt;ROW('Списки блоков'!$S$3)),0),0)),"","Instagram,")
&amp;IF(ISERROR(MATCH(1,INDEX(('Списки блоков'!$T$2:$T986=B8)*(ROW('Списки блоков'!$T$2:$T986)&lt;&gt;ROW('Списки блоков'!$T$3)),0),0)),"","Zachёt,")
&amp;IF(ISERROR(MATCH(1,INDEX(('Списки блоков'!$U$2:$U986=B8)*(ROW('Списки блоков'!$U$2:$U986)&lt;&gt;ROW('Списки блоков'!$U$3)),0),0)),"","IT,")
&amp;IF(ISERROR(MATCH(1,INDEX(('Списки блоков'!$V$2:$V986=B8)*(ROW('Списки блоков'!$V$2:$V986)&lt;&gt;ROW('Списки блоков'!$V$3)),0),0)),"","ДК,")
</f>
        <v>Дизайн,Спонсоры,Сценаристы,Instagram,</v>
      </c>
      <c r="F8" s="8">
        <v>8.9037684536E10</v>
      </c>
      <c r="G8" s="5" t="s">
        <v>46</v>
      </c>
      <c r="H8" s="2" t="s">
        <v>47</v>
      </c>
      <c r="I8" s="2" t="s">
        <v>48</v>
      </c>
      <c r="J8" s="7" t="s">
        <v>15</v>
      </c>
    </row>
    <row r="9">
      <c r="A9" s="10" t="s">
        <v>49</v>
      </c>
      <c r="B9" s="2" t="str">
        <f t="shared" si="1"/>
        <v>Аристова Алла</v>
      </c>
      <c r="C9" s="9">
        <v>102.0</v>
      </c>
      <c r="D9" s="10" t="s">
        <v>50</v>
      </c>
      <c r="E9" s="2" t="str">
        <f t="array" ref="E9">IF(ISERROR(MATCH(1,INDEX(('Списки блоков'!$B$2:$B986=B9)*(ROW('Списки блоков'!$B$2:$B986)&lt;&gt;ROW('Списки блоков'!$B$3)),0),0)),"","БДНС,")
&amp;IF(ISERROR(MATCH(1,INDEX(('Списки блоков'!$C$2:$C986=B9)*(ROW('Списки блоков'!$C$2:$C986)&lt;&gt;ROW('Списки блоков'!$C$3)),0),0)),"","Видеолаба,")
&amp;IF(ISERROR(MATCH(1,INDEX(('Списки блоков'!$D$2:$D986=B9)*(ROW('Списки блоков'!$D$2:$D986)&lt;&gt;ROW('Списки блоков'!$D$3)),0),0)),"","Декораторы,")
&amp;IF(ISERROR(MATCH(1,INDEX(('Списки блоков'!$E$2:$E986=B9)*(ROW('Списки блоков'!$E$2:$E986)&lt;&gt;ROW('Списки блоков'!$E$3)),0),0)),"","Дизайн,")
&amp;IF(ISERROR(MATCH(1,INDEX(('Списки блоков'!$F$2:$F986=B9)*(ROW('Списки блоков'!$F$2:$F986)&lt;&gt;ROW('Списки блоков'!$F$3)),0),0)),"","Досуг,")
&amp;IF(ISERROR(MATCH(1,INDEX(('Списки блоков'!$G$2:$G986=B9)*(ROW('Списки блоков'!$G$2:$G986)&lt;&gt;ROW('Списки блоков'!$G$3)),0),0)),"","Закупки,")
&amp;IF(ISERROR(MATCH(1,INDEX(('Списки блоков'!$H$2:$H986=B9)*(ROW('Списки блоков'!$H$2:$H986)&lt;&gt;ROW('Списки блоков'!$H$3)),0),0)),"","ИнфоБлок,")
&amp;IF(ISERROR(MATCH(1,INDEX(('Списки блоков'!$I$2:$I986=B9)*(ROW('Списки блоков'!$I$2:$I986)&lt;&gt;ROW('Списки блоков'!$I$3)),0),0)),"","КГ,")
&amp;IF(ISERROR(MATCH(1,INDEX(('Списки блоков'!$J$2:$J986=B9)*(ROW('Списки блоков'!$J$2:$J986)&lt;&gt;ROW('Списки блоков'!$J$3)),0),0)),"","МП,")
&amp;IF(ISERROR(MATCH(1,INDEX(('Списки блоков'!$K$2:$K986=B9)*(ROW('Списки блоков'!$K$2:$K986)&lt;&gt;ROW('Списки блоков'!$K$3)),0),0)),"","Профорги,")
&amp;IF(ISERROR(MATCH(1,INDEX(('Списки блоков'!$L$2:$L986=B9)*(ROW('Списки блоков'!$L$2:$L986)&lt;&gt;ROW('Списки блоков'!$L$3)),0),0)),"","Спонсоры,")
&amp;IF(ISERROR(MATCH(1,INDEX(('Списки блоков'!$M$2:$M986=B9)*(ROW('Списки блоков'!$M$2:$M986)&lt;&gt;ROW('Списки блоков'!$M$3)),0),0)),"","Склад,")
&amp;IF(ISERROR(MATCH(1,INDEX(('Списки блоков'!$N$2:$N986=B9)*(ROW('Списки блоков'!$N$2:$N986)&lt;&gt;ROW('Списки блоков'!$N$3)),0),0)),"","Сценаристы,")
&amp;IF(ISERROR(MATCH(1,INDEX(('Списки блоков'!$O$2:$O986=B9)*(ROW('Списки блоков'!$O$2:$O986)&lt;&gt;ROW('Списки блоков'!$O$3)),0),0)),"","Техники,")
&amp;IF(ISERROR(MATCH(1,INDEX(('Списки блоков'!$P$2:$P986=B9)*(ROW('Списки блоков'!$P$2:$P986)&lt;&gt;ROW('Списки блоков'!$P$3)),0),0)),"","УРС,")
&amp;IF(ISERROR(MATCH(1,INDEX(('Списки блоков'!$Q$2:$Q986=B9)*(ROW('Списки блоков'!$Q$2:$Q986)&lt;&gt;ROW('Списки блоков'!$Q$3)),0),0)),"","Фото,")
&amp;IF(ISERROR(MATCH(1,INDEX((#REF!=B9)*(ROW(#REF!)&lt;&gt;ROW(#REF!)),0),0)),"","ЭкоБлок,")
&amp;IF(ISERROR(MATCH(1,INDEX(('Списки блоков'!$R$2:$R986=B9)*(ROW('Списки блоков'!$R$2:$R986)&lt;&gt;ROW('Списки блоков'!$R$3)),0),0)),"","HR,")
&amp;IF(ISERROR(MATCH(1,INDEX(('Списки блоков'!$S$2:$S986=B9)*(ROW('Списки блоков'!$S$2:$S986)&lt;&gt;ROW('Списки блоков'!$S$3)),0),0)),"","Instagram,")
&amp;IF(ISERROR(MATCH(1,INDEX(('Списки блоков'!$T$2:$T986=B9)*(ROW('Списки блоков'!$T$2:$T986)&lt;&gt;ROW('Списки блоков'!$T$3)),0),0)),"","Zachёt,")
&amp;IF(ISERROR(MATCH(1,INDEX(('Списки блоков'!$U$2:$U986=B9)*(ROW('Списки блоков'!$U$2:$U986)&lt;&gt;ROW('Списки блоков'!$U$3)),0),0)),"","IT,")
&amp;IF(ISERROR(MATCH(1,INDEX(('Списки блоков'!$V$2:$V986=B9)*(ROW('Списки блоков'!$V$2:$V986)&lt;&gt;ROW('Списки блоков'!$V$3)),0),0)),"","ДК,")
</f>
        <v>Декораторы,Профорги,IT,</v>
      </c>
      <c r="F9" s="14">
        <v>8.98794448E10</v>
      </c>
      <c r="G9" s="12" t="s">
        <v>51</v>
      </c>
      <c r="H9" s="15" t="s">
        <v>52</v>
      </c>
      <c r="I9" s="10" t="s">
        <v>53</v>
      </c>
      <c r="J9" s="6" t="s">
        <v>22</v>
      </c>
    </row>
    <row r="10">
      <c r="A10" s="6" t="s">
        <v>54</v>
      </c>
      <c r="B10" s="2" t="str">
        <f t="shared" si="1"/>
        <v>Балакин Денис</v>
      </c>
      <c r="C10" s="9">
        <v>210.0</v>
      </c>
      <c r="D10" s="10" t="s">
        <v>55</v>
      </c>
      <c r="E10" s="2" t="str">
        <f t="array" ref="E10">IF(ISERROR(MATCH(1,INDEX(('Списки блоков'!$B$2:$B986=B10)*(ROW('Списки блоков'!$B$2:$B986)&lt;&gt;ROW('Списки блоков'!$B$3)),0),0)),"","БДНС,")
&amp;IF(ISERROR(MATCH(1,INDEX(('Списки блоков'!$C$2:$C986=B10)*(ROW('Списки блоков'!$C$2:$C986)&lt;&gt;ROW('Списки блоков'!$C$3)),0),0)),"","Видеолаба,")
&amp;IF(ISERROR(MATCH(1,INDEX(('Списки блоков'!$D$2:$D986=B10)*(ROW('Списки блоков'!$D$2:$D986)&lt;&gt;ROW('Списки блоков'!$D$3)),0),0)),"","Декораторы,")
&amp;IF(ISERROR(MATCH(1,INDEX(('Списки блоков'!$E$2:$E986=B10)*(ROW('Списки блоков'!$E$2:$E986)&lt;&gt;ROW('Списки блоков'!$E$3)),0),0)),"","Дизайн,")
&amp;IF(ISERROR(MATCH(1,INDEX(('Списки блоков'!$F$2:$F986=B10)*(ROW('Списки блоков'!$F$2:$F986)&lt;&gt;ROW('Списки блоков'!$F$3)),0),0)),"","Досуг,")
&amp;IF(ISERROR(MATCH(1,INDEX(('Списки блоков'!$G$2:$G986=B10)*(ROW('Списки блоков'!$G$2:$G986)&lt;&gt;ROW('Списки блоков'!$G$3)),0),0)),"","Закупки,")
&amp;IF(ISERROR(MATCH(1,INDEX(('Списки блоков'!$H$2:$H986=B10)*(ROW('Списки блоков'!$H$2:$H986)&lt;&gt;ROW('Списки блоков'!$H$3)),0),0)),"","ИнфоБлок,")
&amp;IF(ISERROR(MATCH(1,INDEX(('Списки блоков'!$I$2:$I986=B10)*(ROW('Списки блоков'!$I$2:$I986)&lt;&gt;ROW('Списки блоков'!$I$3)),0),0)),"","КГ,")
&amp;IF(ISERROR(MATCH(1,INDEX(('Списки блоков'!$J$2:$J986=B10)*(ROW('Списки блоков'!$J$2:$J986)&lt;&gt;ROW('Списки блоков'!$J$3)),0),0)),"","МП,")
&amp;IF(ISERROR(MATCH(1,INDEX(('Списки блоков'!$K$2:$K986=B10)*(ROW('Списки блоков'!$K$2:$K986)&lt;&gt;ROW('Списки блоков'!$K$3)),0),0)),"","Профорги,")
&amp;IF(ISERROR(MATCH(1,INDEX(('Списки блоков'!$L$2:$L986=B10)*(ROW('Списки блоков'!$L$2:$L986)&lt;&gt;ROW('Списки блоков'!$L$3)),0),0)),"","Спонсоры,")
&amp;IF(ISERROR(MATCH(1,INDEX(('Списки блоков'!$M$2:$M986=B10)*(ROW('Списки блоков'!$M$2:$M986)&lt;&gt;ROW('Списки блоков'!$M$3)),0),0)),"","Склад,")
&amp;IF(ISERROR(MATCH(1,INDEX(('Списки блоков'!$N$2:$N986=B10)*(ROW('Списки блоков'!$N$2:$N986)&lt;&gt;ROW('Списки блоков'!$N$3)),0),0)),"","Сценаристы,")
&amp;IF(ISERROR(MATCH(1,INDEX(('Списки блоков'!$O$2:$O986=B10)*(ROW('Списки блоков'!$O$2:$O986)&lt;&gt;ROW('Списки блоков'!$O$3)),0),0)),"","Техники,")
&amp;IF(ISERROR(MATCH(1,INDEX(('Списки блоков'!$P$2:$P986=B10)*(ROW('Списки блоков'!$P$2:$P986)&lt;&gt;ROW('Списки блоков'!$P$3)),0),0)),"","УРС,")
&amp;IF(ISERROR(MATCH(1,INDEX(('Списки блоков'!$Q$2:$Q986=B10)*(ROW('Списки блоков'!$Q$2:$Q986)&lt;&gt;ROW('Списки блоков'!$Q$3)),0),0)),"","Фото,")
&amp;IF(ISERROR(MATCH(1,INDEX((#REF!=B10)*(ROW(#REF!)&lt;&gt;ROW(#REF!)),0),0)),"","ЭкоБлок,")
&amp;IF(ISERROR(MATCH(1,INDEX(('Списки блоков'!$R$2:$R986=B10)*(ROW('Списки блоков'!$R$2:$R986)&lt;&gt;ROW('Списки блоков'!$R$3)),0),0)),"","HR,")
&amp;IF(ISERROR(MATCH(1,INDEX(('Списки блоков'!$S$2:$S986=B10)*(ROW('Списки блоков'!$S$2:$S986)&lt;&gt;ROW('Списки блоков'!$S$3)),0),0)),"","Instagram,")
&amp;IF(ISERROR(MATCH(1,INDEX(('Списки блоков'!$T$2:$T986=B10)*(ROW('Списки блоков'!$T$2:$T986)&lt;&gt;ROW('Списки блоков'!$T$3)),0),0)),"","Zachёt,")
&amp;IF(ISERROR(MATCH(1,INDEX(('Списки блоков'!$U$2:$U986=B10)*(ROW('Списки блоков'!$U$2:$U986)&lt;&gt;ROW('Списки блоков'!$U$3)),0),0)),"","IT,")
&amp;IF(ISERROR(MATCH(1,INDEX(('Списки блоков'!$V$2:$V986=B10)*(ROW('Списки блоков'!$V$2:$V986)&lt;&gt;ROW('Списки блоков'!$V$3)),0),0)),"","ДК,")
</f>
        <v>Видеолаба,Профорги,Instagram,IT,</v>
      </c>
      <c r="F10" s="11">
        <v>8.9685119529E10</v>
      </c>
      <c r="G10" s="12" t="s">
        <v>56</v>
      </c>
      <c r="H10" s="10" t="s">
        <v>57</v>
      </c>
      <c r="I10" s="10" t="s">
        <v>58</v>
      </c>
      <c r="J10" s="6" t="s">
        <v>22</v>
      </c>
    </row>
    <row r="11">
      <c r="A11" s="10" t="s">
        <v>59</v>
      </c>
      <c r="B11" s="2" t="str">
        <f t="shared" si="1"/>
        <v>Барсуков Егор</v>
      </c>
      <c r="C11" s="9">
        <v>141.0</v>
      </c>
      <c r="D11" s="10" t="s">
        <v>50</v>
      </c>
      <c r="E11" s="2" t="str">
        <f t="array" ref="E11">IF(ISERROR(MATCH(1,INDEX(('Списки блоков'!$B$2:$B986=B11)*(ROW('Списки блоков'!$B$2:$B986)&lt;&gt;ROW('Списки блоков'!$B$3)),0),0)),"","БДНС,")
&amp;IF(ISERROR(MATCH(1,INDEX(('Списки блоков'!$C$2:$C986=B11)*(ROW('Списки блоков'!$C$2:$C986)&lt;&gt;ROW('Списки блоков'!$C$3)),0),0)),"","Видеолаба,")
&amp;IF(ISERROR(MATCH(1,INDEX(('Списки блоков'!$D$2:$D986=B11)*(ROW('Списки блоков'!$D$2:$D986)&lt;&gt;ROW('Списки блоков'!$D$3)),0),0)),"","Декораторы,")
&amp;IF(ISERROR(MATCH(1,INDEX(('Списки блоков'!$E$2:$E986=B11)*(ROW('Списки блоков'!$E$2:$E986)&lt;&gt;ROW('Списки блоков'!$E$3)),0),0)),"","Дизайн,")
&amp;IF(ISERROR(MATCH(1,INDEX(('Списки блоков'!$F$2:$F986=B11)*(ROW('Списки блоков'!$F$2:$F986)&lt;&gt;ROW('Списки блоков'!$F$3)),0),0)),"","Досуг,")
&amp;IF(ISERROR(MATCH(1,INDEX(('Списки блоков'!$G$2:$G986=B11)*(ROW('Списки блоков'!$G$2:$G986)&lt;&gt;ROW('Списки блоков'!$G$3)),0),0)),"","Закупки,")
&amp;IF(ISERROR(MATCH(1,INDEX(('Списки блоков'!$H$2:$H986=B11)*(ROW('Списки блоков'!$H$2:$H986)&lt;&gt;ROW('Списки блоков'!$H$3)),0),0)),"","ИнфоБлок,")
&amp;IF(ISERROR(MATCH(1,INDEX(('Списки блоков'!$I$2:$I986=B11)*(ROW('Списки блоков'!$I$2:$I986)&lt;&gt;ROW('Списки блоков'!$I$3)),0),0)),"","КГ,")
&amp;IF(ISERROR(MATCH(1,INDEX(('Списки блоков'!$J$2:$J986=B11)*(ROW('Списки блоков'!$J$2:$J986)&lt;&gt;ROW('Списки блоков'!$J$3)),0),0)),"","МП,")
&amp;IF(ISERROR(MATCH(1,INDEX(('Списки блоков'!$K$2:$K986=B11)*(ROW('Списки блоков'!$K$2:$K986)&lt;&gt;ROW('Списки блоков'!$K$3)),0),0)),"","Профорги,")
&amp;IF(ISERROR(MATCH(1,INDEX(('Списки блоков'!$L$2:$L986=B11)*(ROW('Списки блоков'!$L$2:$L986)&lt;&gt;ROW('Списки блоков'!$L$3)),0),0)),"","Спонсоры,")
&amp;IF(ISERROR(MATCH(1,INDEX(('Списки блоков'!$M$2:$M986=B11)*(ROW('Списки блоков'!$M$2:$M986)&lt;&gt;ROW('Списки блоков'!$M$3)),0),0)),"","Склад,")
&amp;IF(ISERROR(MATCH(1,INDEX(('Списки блоков'!$N$2:$N986=B11)*(ROW('Списки блоков'!$N$2:$N986)&lt;&gt;ROW('Списки блоков'!$N$3)),0),0)),"","Сценаристы,")
&amp;IF(ISERROR(MATCH(1,INDEX(('Списки блоков'!$O$2:$O986=B11)*(ROW('Списки блоков'!$O$2:$O986)&lt;&gt;ROW('Списки блоков'!$O$3)),0),0)),"","Техники,")
&amp;IF(ISERROR(MATCH(1,INDEX(('Списки блоков'!$P$2:$P986=B11)*(ROW('Списки блоков'!$P$2:$P986)&lt;&gt;ROW('Списки блоков'!$P$3)),0),0)),"","УРС,")
&amp;IF(ISERROR(MATCH(1,INDEX(('Списки блоков'!$Q$2:$Q986=B11)*(ROW('Списки блоков'!$Q$2:$Q986)&lt;&gt;ROW('Списки блоков'!$Q$3)),0),0)),"","Фото,")
&amp;IF(ISERROR(MATCH(1,INDEX((#REF!=B11)*(ROW(#REF!)&lt;&gt;ROW(#REF!)),0),0)),"","ЭкоБлок,")
&amp;IF(ISERROR(MATCH(1,INDEX(('Списки блоков'!$R$2:$R986=B11)*(ROW('Списки блоков'!$R$2:$R986)&lt;&gt;ROW('Списки блоков'!$R$3)),0),0)),"","HR,")
&amp;IF(ISERROR(MATCH(1,INDEX(('Списки блоков'!$S$2:$S986=B11)*(ROW('Списки блоков'!$S$2:$S986)&lt;&gt;ROW('Списки блоков'!$S$3)),0),0)),"","Instagram,")
&amp;IF(ISERROR(MATCH(1,INDEX(('Списки блоков'!$T$2:$T986=B11)*(ROW('Списки блоков'!$T$2:$T986)&lt;&gt;ROW('Списки блоков'!$T$3)),0),0)),"","Zachёt,")
&amp;IF(ISERROR(MATCH(1,INDEX(('Списки блоков'!$U$2:$U986=B11)*(ROW('Списки блоков'!$U$2:$U986)&lt;&gt;ROW('Списки блоков'!$U$3)),0),0)),"","IT,")
&amp;IF(ISERROR(MATCH(1,INDEX(('Списки блоков'!$V$2:$V986=B11)*(ROW('Списки блоков'!$V$2:$V986)&lt;&gt;ROW('Списки блоков'!$V$3)),0),0)),"","ДК,")
</f>
        <v>Видеолаба,Декораторы,Дизайн,Техники,</v>
      </c>
      <c r="F11" s="10" t="s">
        <v>60</v>
      </c>
      <c r="G11" s="12" t="s">
        <v>61</v>
      </c>
      <c r="H11" s="12" t="s">
        <v>62</v>
      </c>
      <c r="I11" s="10" t="s">
        <v>63</v>
      </c>
      <c r="J11" s="6" t="s">
        <v>22</v>
      </c>
    </row>
    <row r="12">
      <c r="A12" s="10" t="s">
        <v>64</v>
      </c>
      <c r="B12" s="2" t="str">
        <f t="shared" si="1"/>
        <v>Бедрин Павел</v>
      </c>
      <c r="C12" s="9">
        <v>628.0</v>
      </c>
      <c r="D12" s="10" t="s">
        <v>65</v>
      </c>
      <c r="E12" s="2" t="str">
        <f t="array" ref="E12">IF(ISERROR(MATCH(1,INDEX(('Списки блоков'!$B$2:$B986=B12)*(ROW('Списки блоков'!$B$2:$B986)&lt;&gt;ROW('Списки блоков'!$B$3)),0),0)),"","БДНС,")
&amp;IF(ISERROR(MATCH(1,INDEX(('Списки блоков'!$C$2:$C986=B12)*(ROW('Списки блоков'!$C$2:$C986)&lt;&gt;ROW('Списки блоков'!$C$3)),0),0)),"","Видеолаба,")
&amp;IF(ISERROR(MATCH(1,INDEX(('Списки блоков'!$D$2:$D986=B12)*(ROW('Списки блоков'!$D$2:$D986)&lt;&gt;ROW('Списки блоков'!$D$3)),0),0)),"","Декораторы,")
&amp;IF(ISERROR(MATCH(1,INDEX(('Списки блоков'!$E$2:$E986=B12)*(ROW('Списки блоков'!$E$2:$E986)&lt;&gt;ROW('Списки блоков'!$E$3)),0),0)),"","Дизайн,")
&amp;IF(ISERROR(MATCH(1,INDEX(('Списки блоков'!$F$2:$F986=B12)*(ROW('Списки блоков'!$F$2:$F986)&lt;&gt;ROW('Списки блоков'!$F$3)),0),0)),"","Досуг,")
&amp;IF(ISERROR(MATCH(1,INDEX(('Списки блоков'!$G$2:$G986=B12)*(ROW('Списки блоков'!$G$2:$G986)&lt;&gt;ROW('Списки блоков'!$G$3)),0),0)),"","Закупки,")
&amp;IF(ISERROR(MATCH(1,INDEX(('Списки блоков'!$H$2:$H986=B12)*(ROW('Списки блоков'!$H$2:$H986)&lt;&gt;ROW('Списки блоков'!$H$3)),0),0)),"","ИнфоБлок,")
&amp;IF(ISERROR(MATCH(1,INDEX(('Списки блоков'!$I$2:$I986=B12)*(ROW('Списки блоков'!$I$2:$I986)&lt;&gt;ROW('Списки блоков'!$I$3)),0),0)),"","КГ,")
&amp;IF(ISERROR(MATCH(1,INDEX(('Списки блоков'!$J$2:$J986=B12)*(ROW('Списки блоков'!$J$2:$J986)&lt;&gt;ROW('Списки блоков'!$J$3)),0),0)),"","МП,")
&amp;IF(ISERROR(MATCH(1,INDEX(('Списки блоков'!$K$2:$K986=B12)*(ROW('Списки блоков'!$K$2:$K986)&lt;&gt;ROW('Списки блоков'!$K$3)),0),0)),"","Профорги,")
&amp;IF(ISERROR(MATCH(1,INDEX(('Списки блоков'!$L$2:$L986=B12)*(ROW('Списки блоков'!$L$2:$L986)&lt;&gt;ROW('Списки блоков'!$L$3)),0),0)),"","Спонсоры,")
&amp;IF(ISERROR(MATCH(1,INDEX(('Списки блоков'!$M$2:$M986=B12)*(ROW('Списки блоков'!$M$2:$M986)&lt;&gt;ROW('Списки блоков'!$M$3)),0),0)),"","Склад,")
&amp;IF(ISERROR(MATCH(1,INDEX(('Списки блоков'!$N$2:$N986=B12)*(ROW('Списки блоков'!$N$2:$N986)&lt;&gt;ROW('Списки блоков'!$N$3)),0),0)),"","Сценаристы,")
&amp;IF(ISERROR(MATCH(1,INDEX(('Списки блоков'!$O$2:$O986=B12)*(ROW('Списки блоков'!$O$2:$O986)&lt;&gt;ROW('Списки блоков'!$O$3)),0),0)),"","Техники,")
&amp;IF(ISERROR(MATCH(1,INDEX(('Списки блоков'!$P$2:$P986=B12)*(ROW('Списки блоков'!$P$2:$P986)&lt;&gt;ROW('Списки блоков'!$P$3)),0),0)),"","УРС,")
&amp;IF(ISERROR(MATCH(1,INDEX(('Списки блоков'!$Q$2:$Q986=B12)*(ROW('Списки блоков'!$Q$2:$Q986)&lt;&gt;ROW('Списки блоков'!$Q$3)),0),0)),"","Фото,")
&amp;IF(ISERROR(MATCH(1,INDEX((#REF!=B12)*(ROW(#REF!)&lt;&gt;ROW(#REF!)),0),0)),"","ЭкоБлок,")
&amp;IF(ISERROR(MATCH(1,INDEX(('Списки блоков'!$R$2:$R986=B12)*(ROW('Списки блоков'!$R$2:$R986)&lt;&gt;ROW('Списки блоков'!$R$3)),0),0)),"","HR,")
&amp;IF(ISERROR(MATCH(1,INDEX(('Списки блоков'!$S$2:$S986=B12)*(ROW('Списки блоков'!$S$2:$S986)&lt;&gt;ROW('Списки блоков'!$S$3)),0),0)),"","Instagram,")
&amp;IF(ISERROR(MATCH(1,INDEX(('Списки блоков'!$T$2:$T986=B12)*(ROW('Списки блоков'!$T$2:$T986)&lt;&gt;ROW('Списки блоков'!$T$3)),0),0)),"","Zachёt,")
&amp;IF(ISERROR(MATCH(1,INDEX(('Списки блоков'!$U$2:$U986=B12)*(ROW('Списки блоков'!$U$2:$U986)&lt;&gt;ROW('Списки блоков'!$U$3)),0),0)),"","IT,")
&amp;IF(ISERROR(MATCH(1,INDEX(('Списки блоков'!$V$2:$V986=B12)*(ROW('Списки блоков'!$V$2:$V986)&lt;&gt;ROW('Списки блоков'!$V$3)),0),0)),"","ДК,")
</f>
        <v>Видеолаба,Дизайн,</v>
      </c>
      <c r="F12" s="14">
        <v>8.9212999793E10</v>
      </c>
      <c r="G12" s="12" t="s">
        <v>66</v>
      </c>
      <c r="H12" s="12" t="s">
        <v>67</v>
      </c>
      <c r="I12" s="10" t="s">
        <v>68</v>
      </c>
      <c r="J12" s="6" t="s">
        <v>22</v>
      </c>
    </row>
    <row r="13">
      <c r="A13" s="10" t="s">
        <v>69</v>
      </c>
      <c r="B13" s="2" t="str">
        <f t="shared" si="1"/>
        <v>Беппиев Георгий</v>
      </c>
      <c r="C13" s="9">
        <v>312.0</v>
      </c>
      <c r="D13" s="10" t="s">
        <v>70</v>
      </c>
      <c r="E13" s="2" t="str">
        <f t="array" ref="E13">IF(ISERROR(MATCH(1,INDEX(('Списки блоков'!$B$2:$B986=B13)*(ROW('Списки блоков'!$B$2:$B986)&lt;&gt;ROW('Списки блоков'!$B$3)),0),0)),"","БДНС,")
&amp;IF(ISERROR(MATCH(1,INDEX(('Списки блоков'!$C$2:$C986=B13)*(ROW('Списки блоков'!$C$2:$C986)&lt;&gt;ROW('Списки блоков'!$C$3)),0),0)),"","Видеолаба,")
&amp;IF(ISERROR(MATCH(1,INDEX(('Списки блоков'!$D$2:$D986=B13)*(ROW('Списки блоков'!$D$2:$D986)&lt;&gt;ROW('Списки блоков'!$D$3)),0),0)),"","Декораторы,")
&amp;IF(ISERROR(MATCH(1,INDEX(('Списки блоков'!$E$2:$E986=B13)*(ROW('Списки блоков'!$E$2:$E986)&lt;&gt;ROW('Списки блоков'!$E$3)),0),0)),"","Дизайн,")
&amp;IF(ISERROR(MATCH(1,INDEX(('Списки блоков'!$F$2:$F986=B13)*(ROW('Списки блоков'!$F$2:$F986)&lt;&gt;ROW('Списки блоков'!$F$3)),0),0)),"","Досуг,")
&amp;IF(ISERROR(MATCH(1,INDEX(('Списки блоков'!$G$2:$G986=B13)*(ROW('Списки блоков'!$G$2:$G986)&lt;&gt;ROW('Списки блоков'!$G$3)),0),0)),"","Закупки,")
&amp;IF(ISERROR(MATCH(1,INDEX(('Списки блоков'!$H$2:$H986=B13)*(ROW('Списки блоков'!$H$2:$H986)&lt;&gt;ROW('Списки блоков'!$H$3)),0),0)),"","ИнфоБлок,")
&amp;IF(ISERROR(MATCH(1,INDEX(('Списки блоков'!$I$2:$I986=B13)*(ROW('Списки блоков'!$I$2:$I986)&lt;&gt;ROW('Списки блоков'!$I$3)),0),0)),"","КГ,")
&amp;IF(ISERROR(MATCH(1,INDEX(('Списки блоков'!$J$2:$J986=B13)*(ROW('Списки блоков'!$J$2:$J986)&lt;&gt;ROW('Списки блоков'!$J$3)),0),0)),"","МП,")
&amp;IF(ISERROR(MATCH(1,INDEX(('Списки блоков'!$K$2:$K986=B13)*(ROW('Списки блоков'!$K$2:$K986)&lt;&gt;ROW('Списки блоков'!$K$3)),0),0)),"","Профорги,")
&amp;IF(ISERROR(MATCH(1,INDEX(('Списки блоков'!$L$2:$L986=B13)*(ROW('Списки блоков'!$L$2:$L986)&lt;&gt;ROW('Списки блоков'!$L$3)),0),0)),"","Спонсоры,")
&amp;IF(ISERROR(MATCH(1,INDEX(('Списки блоков'!$M$2:$M986=B13)*(ROW('Списки блоков'!$M$2:$M986)&lt;&gt;ROW('Списки блоков'!$M$3)),0),0)),"","Склад,")
&amp;IF(ISERROR(MATCH(1,INDEX(('Списки блоков'!$N$2:$N986=B13)*(ROW('Списки блоков'!$N$2:$N986)&lt;&gt;ROW('Списки блоков'!$N$3)),0),0)),"","Сценаристы,")
&amp;IF(ISERROR(MATCH(1,INDEX(('Списки блоков'!$O$2:$O986=B13)*(ROW('Списки блоков'!$O$2:$O986)&lt;&gt;ROW('Списки блоков'!$O$3)),0),0)),"","Техники,")
&amp;IF(ISERROR(MATCH(1,INDEX(('Списки блоков'!$P$2:$P986=B13)*(ROW('Списки блоков'!$P$2:$P986)&lt;&gt;ROW('Списки блоков'!$P$3)),0),0)),"","УРС,")
&amp;IF(ISERROR(MATCH(1,INDEX(('Списки блоков'!$Q$2:$Q986=B13)*(ROW('Списки блоков'!$Q$2:$Q986)&lt;&gt;ROW('Списки блоков'!$Q$3)),0),0)),"","Фото,")
&amp;IF(ISERROR(MATCH(1,INDEX((#REF!=B13)*(ROW(#REF!)&lt;&gt;ROW(#REF!)),0),0)),"","ЭкоБлок,")
&amp;IF(ISERROR(MATCH(1,INDEX(('Списки блоков'!$R$2:$R986=B13)*(ROW('Списки блоков'!$R$2:$R986)&lt;&gt;ROW('Списки блоков'!$R$3)),0),0)),"","HR,")
&amp;IF(ISERROR(MATCH(1,INDEX(('Списки блоков'!$S$2:$S986=B13)*(ROW('Списки блоков'!$S$2:$S986)&lt;&gt;ROW('Списки блоков'!$S$3)),0),0)),"","Instagram,")
&amp;IF(ISERROR(MATCH(1,INDEX(('Списки блоков'!$T$2:$T986=B13)*(ROW('Списки блоков'!$T$2:$T986)&lt;&gt;ROW('Списки блоков'!$T$3)),0),0)),"","Zachёt,")
&amp;IF(ISERROR(MATCH(1,INDEX(('Списки блоков'!$U$2:$U986=B13)*(ROW('Списки блоков'!$U$2:$U986)&lt;&gt;ROW('Списки блоков'!$U$3)),0),0)),"","IT,")
&amp;IF(ISERROR(MATCH(1,INDEX(('Списки блоков'!$V$2:$V986=B13)*(ROW('Списки блоков'!$V$2:$V986)&lt;&gt;ROW('Списки блоков'!$V$3)),0),0)),"","ДК,")
</f>
        <v/>
      </c>
      <c r="F13" s="11">
        <v>8.9260618663E10</v>
      </c>
      <c r="G13" s="12" t="s">
        <v>71</v>
      </c>
      <c r="H13" s="12" t="s">
        <v>72</v>
      </c>
      <c r="I13" s="10" t="s">
        <v>73</v>
      </c>
      <c r="J13" s="6" t="s">
        <v>22</v>
      </c>
    </row>
    <row r="14">
      <c r="A14" s="6" t="s">
        <v>74</v>
      </c>
      <c r="B14" s="7" t="s">
        <v>75</v>
      </c>
      <c r="C14" s="9">
        <v>241.0</v>
      </c>
      <c r="D14" s="10" t="s">
        <v>76</v>
      </c>
      <c r="E14" s="2" t="str">
        <f t="array" ref="E14">IF(ISERROR(MATCH(1,INDEX(('Списки блоков'!$B$2:$B986=B14)*(ROW('Списки блоков'!$B$2:$B986)&lt;&gt;ROW('Списки блоков'!$B$3)),0),0)),"","БДНС,")
&amp;IF(ISERROR(MATCH(1,INDEX(('Списки блоков'!$C$2:$C986=B14)*(ROW('Списки блоков'!$C$2:$C986)&lt;&gt;ROW('Списки блоков'!$C$3)),0),0)),"","Видеолаба,")
&amp;IF(ISERROR(MATCH(1,INDEX(('Списки блоков'!$D$2:$D986=B14)*(ROW('Списки блоков'!$D$2:$D986)&lt;&gt;ROW('Списки блоков'!$D$3)),0),0)),"","Декораторы,")
&amp;IF(ISERROR(MATCH(1,INDEX(('Списки блоков'!$E$2:$E986=B14)*(ROW('Списки блоков'!$E$2:$E986)&lt;&gt;ROW('Списки блоков'!$E$3)),0),0)),"","Дизайн,")
&amp;IF(ISERROR(MATCH(1,INDEX(('Списки блоков'!$F$2:$F986=B14)*(ROW('Списки блоков'!$F$2:$F986)&lt;&gt;ROW('Списки блоков'!$F$3)),0),0)),"","Досуг,")
&amp;IF(ISERROR(MATCH(1,INDEX(('Списки блоков'!$G$2:$G986=B14)*(ROW('Списки блоков'!$G$2:$G986)&lt;&gt;ROW('Списки блоков'!$G$3)),0),0)),"","Закупки,")
&amp;IF(ISERROR(MATCH(1,INDEX(('Списки блоков'!$H$2:$H986=B14)*(ROW('Списки блоков'!$H$2:$H986)&lt;&gt;ROW('Списки блоков'!$H$3)),0),0)),"","ИнфоБлок,")
&amp;IF(ISERROR(MATCH(1,INDEX(('Списки блоков'!$I$2:$I986=B14)*(ROW('Списки блоков'!$I$2:$I986)&lt;&gt;ROW('Списки блоков'!$I$3)),0),0)),"","КГ,")
&amp;IF(ISERROR(MATCH(1,INDEX(('Списки блоков'!$J$2:$J986=B14)*(ROW('Списки блоков'!$J$2:$J986)&lt;&gt;ROW('Списки блоков'!$J$3)),0),0)),"","МП,")
&amp;IF(ISERROR(MATCH(1,INDEX(('Списки блоков'!$K$2:$K986=B14)*(ROW('Списки блоков'!$K$2:$K986)&lt;&gt;ROW('Списки блоков'!$K$3)),0),0)),"","Профорги,")
&amp;IF(ISERROR(MATCH(1,INDEX(('Списки блоков'!$L$2:$L986=B14)*(ROW('Списки блоков'!$L$2:$L986)&lt;&gt;ROW('Списки блоков'!$L$3)),0),0)),"","Спонсоры,")
&amp;IF(ISERROR(MATCH(1,INDEX(('Списки блоков'!$M$2:$M986=B14)*(ROW('Списки блоков'!$M$2:$M986)&lt;&gt;ROW('Списки блоков'!$M$3)),0),0)),"","Склад,")
&amp;IF(ISERROR(MATCH(1,INDEX(('Списки блоков'!$N$2:$N986=B14)*(ROW('Списки блоков'!$N$2:$N986)&lt;&gt;ROW('Списки блоков'!$N$3)),0),0)),"","Сценаристы,")
&amp;IF(ISERROR(MATCH(1,INDEX(('Списки блоков'!$O$2:$O986=B14)*(ROW('Списки блоков'!$O$2:$O986)&lt;&gt;ROW('Списки блоков'!$O$3)),0),0)),"","Техники,")
&amp;IF(ISERROR(MATCH(1,INDEX(('Списки блоков'!$P$2:$P986=B14)*(ROW('Списки блоков'!$P$2:$P986)&lt;&gt;ROW('Списки блоков'!$P$3)),0),0)),"","УРС,")
&amp;IF(ISERROR(MATCH(1,INDEX(('Списки блоков'!$Q$2:$Q986=B14)*(ROW('Списки блоков'!$Q$2:$Q986)&lt;&gt;ROW('Списки блоков'!$Q$3)),0),0)),"","Фото,")
&amp;IF(ISERROR(MATCH(1,INDEX((#REF!=B14)*(ROW(#REF!)&lt;&gt;ROW(#REF!)),0),0)),"","ЭкоБлок,")
&amp;IF(ISERROR(MATCH(1,INDEX(('Списки блоков'!$R$2:$R986=B14)*(ROW('Списки блоков'!$R$2:$R986)&lt;&gt;ROW('Списки блоков'!$R$3)),0),0)),"","HR,")
&amp;IF(ISERROR(MATCH(1,INDEX(('Списки блоков'!$S$2:$S986=B14)*(ROW('Списки блоков'!$S$2:$S986)&lt;&gt;ROW('Списки блоков'!$S$3)),0),0)),"","Instagram,")
&amp;IF(ISERROR(MATCH(1,INDEX(('Списки блоков'!$T$2:$T986=B14)*(ROW('Списки блоков'!$T$2:$T986)&lt;&gt;ROW('Списки блоков'!$T$3)),0),0)),"","Zachёt,")
&amp;IF(ISERROR(MATCH(1,INDEX(('Списки блоков'!$U$2:$U986=B14)*(ROW('Списки блоков'!$U$2:$U986)&lt;&gt;ROW('Списки блоков'!$U$3)),0),0)),"","IT,")
&amp;IF(ISERROR(MATCH(1,INDEX(('Списки блоков'!$V$2:$V986=B14)*(ROW('Списки блоков'!$V$2:$V986)&lt;&gt;ROW('Списки блоков'!$V$3)),0),0)),"","ДК,")
</f>
        <v>УРС,Фото,</v>
      </c>
      <c r="F14" s="11">
        <v>8.9057433029E10</v>
      </c>
      <c r="G14" s="12" t="s">
        <v>77</v>
      </c>
      <c r="H14" s="10" t="s">
        <v>78</v>
      </c>
      <c r="I14" s="10" t="s">
        <v>79</v>
      </c>
      <c r="J14" s="6" t="s">
        <v>22</v>
      </c>
    </row>
    <row r="15">
      <c r="A15" s="2" t="s">
        <v>80</v>
      </c>
      <c r="B15" s="2" t="str">
        <f t="shared" ref="B15:B20" si="2">LEFT(A15,FIND(CHAR(160),SUBSTITUTE(A15," ",CHAR(160),2)) - 1)</f>
        <v>Брылева София</v>
      </c>
      <c r="C15" s="3">
        <v>109.0</v>
      </c>
      <c r="D15" s="2" t="s">
        <v>81</v>
      </c>
      <c r="E15" s="2" t="str">
        <f t="array" ref="E15">IF(ISERROR(MATCH(1,INDEX(('Списки блоков'!$B$2:$B986=B15)*(ROW('Списки блоков'!$B$2:$B986)&lt;&gt;ROW('Списки блоков'!$B$3)),0),0)),"","БДНС,")
&amp;IF(ISERROR(MATCH(1,INDEX(('Списки блоков'!$C$2:$C986=B15)*(ROW('Списки блоков'!$C$2:$C986)&lt;&gt;ROW('Списки блоков'!$C$3)),0),0)),"","Видеолаба,")
&amp;IF(ISERROR(MATCH(1,INDEX(('Списки блоков'!$D$2:$D986=B15)*(ROW('Списки блоков'!$D$2:$D986)&lt;&gt;ROW('Списки блоков'!$D$3)),0),0)),"","Декораторы,")
&amp;IF(ISERROR(MATCH(1,INDEX(('Списки блоков'!$E$2:$E986=B15)*(ROW('Списки блоков'!$E$2:$E986)&lt;&gt;ROW('Списки блоков'!$E$3)),0),0)),"","Дизайн,")
&amp;IF(ISERROR(MATCH(1,INDEX(('Списки блоков'!$F$2:$F986=B15)*(ROW('Списки блоков'!$F$2:$F986)&lt;&gt;ROW('Списки блоков'!$F$3)),0),0)),"","Досуг,")
&amp;IF(ISERROR(MATCH(1,INDEX(('Списки блоков'!$G$2:$G986=B15)*(ROW('Списки блоков'!$G$2:$G986)&lt;&gt;ROW('Списки блоков'!$G$3)),0),0)),"","Закупки,")
&amp;IF(ISERROR(MATCH(1,INDEX(('Списки блоков'!$H$2:$H986=B15)*(ROW('Списки блоков'!$H$2:$H986)&lt;&gt;ROW('Списки блоков'!$H$3)),0),0)),"","ИнфоБлок,")
&amp;IF(ISERROR(MATCH(1,INDEX(('Списки блоков'!$I$2:$I986=B15)*(ROW('Списки блоков'!$I$2:$I986)&lt;&gt;ROW('Списки блоков'!$I$3)),0),0)),"","КГ,")
&amp;IF(ISERROR(MATCH(1,INDEX(('Списки блоков'!$J$2:$J986=B15)*(ROW('Списки блоков'!$J$2:$J986)&lt;&gt;ROW('Списки блоков'!$J$3)),0),0)),"","МП,")
&amp;IF(ISERROR(MATCH(1,INDEX(('Списки блоков'!$K$2:$K986=B15)*(ROW('Списки блоков'!$K$2:$K986)&lt;&gt;ROW('Списки блоков'!$K$3)),0),0)),"","Профорги,")
&amp;IF(ISERROR(MATCH(1,INDEX(('Списки блоков'!$L$2:$L986=B15)*(ROW('Списки блоков'!$L$2:$L986)&lt;&gt;ROW('Списки блоков'!$L$3)),0),0)),"","Спонсоры,")
&amp;IF(ISERROR(MATCH(1,INDEX(('Списки блоков'!$M$2:$M986=B15)*(ROW('Списки блоков'!$M$2:$M986)&lt;&gt;ROW('Списки блоков'!$M$3)),0),0)),"","Склад,")
&amp;IF(ISERROR(MATCH(1,INDEX(('Списки блоков'!$N$2:$N986=B15)*(ROW('Списки блоков'!$N$2:$N986)&lt;&gt;ROW('Списки блоков'!$N$3)),0),0)),"","Сценаристы,")
&amp;IF(ISERROR(MATCH(1,INDEX(('Списки блоков'!$O$2:$O986=B15)*(ROW('Списки блоков'!$O$2:$O986)&lt;&gt;ROW('Списки блоков'!$O$3)),0),0)),"","Техники,")
&amp;IF(ISERROR(MATCH(1,INDEX(('Списки блоков'!$P$2:$P986=B15)*(ROW('Списки блоков'!$P$2:$P986)&lt;&gt;ROW('Списки блоков'!$P$3)),0),0)),"","УРС,")
&amp;IF(ISERROR(MATCH(1,INDEX(('Списки блоков'!$Q$2:$Q986=B15)*(ROW('Списки блоков'!$Q$2:$Q986)&lt;&gt;ROW('Списки блоков'!$Q$3)),0),0)),"","Фото,")
&amp;IF(ISERROR(MATCH(1,INDEX((#REF!=B15)*(ROW(#REF!)&lt;&gt;ROW(#REF!)),0),0)),"","ЭкоБлок,")
&amp;IF(ISERROR(MATCH(1,INDEX(('Списки блоков'!$R$2:$R986=B15)*(ROW('Списки блоков'!$R$2:$R986)&lt;&gt;ROW('Списки блоков'!$R$3)),0),0)),"","HR,")
&amp;IF(ISERROR(MATCH(1,INDEX(('Списки блоков'!$S$2:$S986=B15)*(ROW('Списки блоков'!$S$2:$S986)&lt;&gt;ROW('Списки блоков'!$S$3)),0),0)),"","Instagram,")
&amp;IF(ISERROR(MATCH(1,INDEX(('Списки блоков'!$T$2:$T986=B15)*(ROW('Списки блоков'!$T$2:$T986)&lt;&gt;ROW('Списки блоков'!$T$3)),0),0)),"","Zachёt,")
&amp;IF(ISERROR(MATCH(1,INDEX(('Списки блоков'!$U$2:$U986=B15)*(ROW('Списки блоков'!$U$2:$U986)&lt;&gt;ROW('Списки блоков'!$U$3)),0),0)),"","IT,")
&amp;IF(ISERROR(MATCH(1,INDEX(('Списки блоков'!$V$2:$V986=B15)*(ROW('Списки блоков'!$V$2:$V986)&lt;&gt;ROW('Списки блоков'!$V$3)),0),0)),"","ДК,")
</f>
        <v>Техники,</v>
      </c>
      <c r="F15" s="3">
        <v>8.9155237482E10</v>
      </c>
      <c r="G15" s="5" t="s">
        <v>82</v>
      </c>
      <c r="H15" s="5" t="s">
        <v>83</v>
      </c>
      <c r="I15" s="2" t="s">
        <v>84</v>
      </c>
      <c r="J15" s="7" t="s">
        <v>22</v>
      </c>
    </row>
    <row r="16">
      <c r="A16" s="2" t="s">
        <v>85</v>
      </c>
      <c r="B16" s="2" t="str">
        <f t="shared" si="2"/>
        <v>Булкин Антон</v>
      </c>
      <c r="C16" s="3">
        <v>417.0</v>
      </c>
      <c r="D16" s="2" t="s">
        <v>86</v>
      </c>
      <c r="E16" s="2" t="str">
        <f t="array" ref="E16">IF(ISERROR(MATCH(1,INDEX(('Списки блоков'!$B$2:$B986=B16)*(ROW('Списки блоков'!$B$2:$B986)&lt;&gt;ROW('Списки блоков'!$B$3)),0),0)),"","БДНС,")
&amp;IF(ISERROR(MATCH(1,INDEX(('Списки блоков'!$C$2:$C986=B16)*(ROW('Списки блоков'!$C$2:$C986)&lt;&gt;ROW('Списки блоков'!$C$3)),0),0)),"","Видеолаба,")
&amp;IF(ISERROR(MATCH(1,INDEX(('Списки блоков'!$D$2:$D986=B16)*(ROW('Списки блоков'!$D$2:$D986)&lt;&gt;ROW('Списки блоков'!$D$3)),0),0)),"","Декораторы,")
&amp;IF(ISERROR(MATCH(1,INDEX(('Списки блоков'!$E$2:$E986=B16)*(ROW('Списки блоков'!$E$2:$E986)&lt;&gt;ROW('Списки блоков'!$E$3)),0),0)),"","Дизайн,")
&amp;IF(ISERROR(MATCH(1,INDEX(('Списки блоков'!$F$2:$F986=B16)*(ROW('Списки блоков'!$F$2:$F986)&lt;&gt;ROW('Списки блоков'!$F$3)),0),0)),"","Досуг,")
&amp;IF(ISERROR(MATCH(1,INDEX(('Списки блоков'!$G$2:$G986=B16)*(ROW('Списки блоков'!$G$2:$G986)&lt;&gt;ROW('Списки блоков'!$G$3)),0),0)),"","Закупки,")
&amp;IF(ISERROR(MATCH(1,INDEX(('Списки блоков'!$H$2:$H986=B16)*(ROW('Списки блоков'!$H$2:$H986)&lt;&gt;ROW('Списки блоков'!$H$3)),0),0)),"","ИнфоБлок,")
&amp;IF(ISERROR(MATCH(1,INDEX(('Списки блоков'!$I$2:$I986=B16)*(ROW('Списки блоков'!$I$2:$I986)&lt;&gt;ROW('Списки блоков'!$I$3)),0),0)),"","КГ,")
&amp;IF(ISERROR(MATCH(1,INDEX(('Списки блоков'!$J$2:$J986=B16)*(ROW('Списки блоков'!$J$2:$J986)&lt;&gt;ROW('Списки блоков'!$J$3)),0),0)),"","МП,")
&amp;IF(ISERROR(MATCH(1,INDEX(('Списки блоков'!$K$2:$K986=B16)*(ROW('Списки блоков'!$K$2:$K986)&lt;&gt;ROW('Списки блоков'!$K$3)),0),0)),"","Профорги,")
&amp;IF(ISERROR(MATCH(1,INDEX(('Списки блоков'!$L$2:$L986=B16)*(ROW('Списки блоков'!$L$2:$L986)&lt;&gt;ROW('Списки блоков'!$L$3)),0),0)),"","Спонсоры,")
&amp;IF(ISERROR(MATCH(1,INDEX(('Списки блоков'!$M$2:$M986=B16)*(ROW('Списки блоков'!$M$2:$M986)&lt;&gt;ROW('Списки блоков'!$M$3)),0),0)),"","Склад,")
&amp;IF(ISERROR(MATCH(1,INDEX(('Списки блоков'!$N$2:$N986=B16)*(ROW('Списки блоков'!$N$2:$N986)&lt;&gt;ROW('Списки блоков'!$N$3)),0),0)),"","Сценаристы,")
&amp;IF(ISERROR(MATCH(1,INDEX(('Списки блоков'!$O$2:$O986=B16)*(ROW('Списки блоков'!$O$2:$O986)&lt;&gt;ROW('Списки блоков'!$O$3)),0),0)),"","Техники,")
&amp;IF(ISERROR(MATCH(1,INDEX(('Списки блоков'!$P$2:$P986=B16)*(ROW('Списки блоков'!$P$2:$P986)&lt;&gt;ROW('Списки блоков'!$P$3)),0),0)),"","УРС,")
&amp;IF(ISERROR(MATCH(1,INDEX(('Списки блоков'!$Q$2:$Q986=B16)*(ROW('Списки блоков'!$Q$2:$Q986)&lt;&gt;ROW('Списки блоков'!$Q$3)),0),0)),"","Фото,")
&amp;IF(ISERROR(MATCH(1,INDEX((#REF!=B16)*(ROW(#REF!)&lt;&gt;ROW(#REF!)),0),0)),"","ЭкоБлок,")
&amp;IF(ISERROR(MATCH(1,INDEX(('Списки блоков'!$R$2:$R986=B16)*(ROW('Списки блоков'!$R$2:$R986)&lt;&gt;ROW('Списки блоков'!$R$3)),0),0)),"","HR,")
&amp;IF(ISERROR(MATCH(1,INDEX(('Списки блоков'!$S$2:$S986=B16)*(ROW('Списки блоков'!$S$2:$S986)&lt;&gt;ROW('Списки блоков'!$S$3)),0),0)),"","Instagram,")
&amp;IF(ISERROR(MATCH(1,INDEX(('Списки блоков'!$T$2:$T986=B16)*(ROW('Списки блоков'!$T$2:$T986)&lt;&gt;ROW('Списки блоков'!$T$3)),0),0)),"","Zachёt,")
&amp;IF(ISERROR(MATCH(1,INDEX(('Списки блоков'!$U$2:$U986=B16)*(ROW('Списки блоков'!$U$2:$U986)&lt;&gt;ROW('Списки блоков'!$U$3)),0),0)),"","IT,")
&amp;IF(ISERROR(MATCH(1,INDEX(('Списки блоков'!$V$2:$V986=B16)*(ROW('Списки блоков'!$V$2:$V986)&lt;&gt;ROW('Списки блоков'!$V$3)),0),0)),"","ДК,")
</f>
        <v>Склад,HR,IT,ДК,</v>
      </c>
      <c r="F16" s="4">
        <v>8.964593862E10</v>
      </c>
      <c r="G16" s="5" t="s">
        <v>87</v>
      </c>
      <c r="H16" s="2" t="s">
        <v>88</v>
      </c>
      <c r="I16" s="2" t="s">
        <v>89</v>
      </c>
      <c r="J16" s="7" t="s">
        <v>22</v>
      </c>
    </row>
    <row r="17">
      <c r="A17" s="2" t="s">
        <v>90</v>
      </c>
      <c r="B17" s="2" t="str">
        <f t="shared" si="2"/>
        <v>Валиев Радмир</v>
      </c>
      <c r="C17" s="3">
        <v>103.0</v>
      </c>
      <c r="D17" s="2" t="s">
        <v>50</v>
      </c>
      <c r="E17" s="2" t="str">
        <f t="array" ref="E17">IF(ISERROR(MATCH(1,INDEX(('Списки блоков'!$B$2:$B986=B17)*(ROW('Списки блоков'!$B$2:$B986)&lt;&gt;ROW('Списки блоков'!$B$3)),0),0)),"","БДНС,")
&amp;IF(ISERROR(MATCH(1,INDEX(('Списки блоков'!$C$2:$C986=B17)*(ROW('Списки блоков'!$C$2:$C986)&lt;&gt;ROW('Списки блоков'!$C$3)),0),0)),"","Видеолаба,")
&amp;IF(ISERROR(MATCH(1,INDEX(('Списки блоков'!$D$2:$D986=B17)*(ROW('Списки блоков'!$D$2:$D986)&lt;&gt;ROW('Списки блоков'!$D$3)),0),0)),"","Декораторы,")
&amp;IF(ISERROR(MATCH(1,INDEX(('Списки блоков'!$E$2:$E986=B17)*(ROW('Списки блоков'!$E$2:$E986)&lt;&gt;ROW('Списки блоков'!$E$3)),0),0)),"","Дизайн,")
&amp;IF(ISERROR(MATCH(1,INDEX(('Списки блоков'!$F$2:$F986=B17)*(ROW('Списки блоков'!$F$2:$F986)&lt;&gt;ROW('Списки блоков'!$F$3)),0),0)),"","Досуг,")
&amp;IF(ISERROR(MATCH(1,INDEX(('Списки блоков'!$G$2:$G986=B17)*(ROW('Списки блоков'!$G$2:$G986)&lt;&gt;ROW('Списки блоков'!$G$3)),0),0)),"","Закупки,")
&amp;IF(ISERROR(MATCH(1,INDEX(('Списки блоков'!$H$2:$H986=B17)*(ROW('Списки блоков'!$H$2:$H986)&lt;&gt;ROW('Списки блоков'!$H$3)),0),0)),"","ИнфоБлок,")
&amp;IF(ISERROR(MATCH(1,INDEX(('Списки блоков'!$I$2:$I986=B17)*(ROW('Списки блоков'!$I$2:$I986)&lt;&gt;ROW('Списки блоков'!$I$3)),0),0)),"","КГ,")
&amp;IF(ISERROR(MATCH(1,INDEX(('Списки блоков'!$J$2:$J986=B17)*(ROW('Списки блоков'!$J$2:$J986)&lt;&gt;ROW('Списки блоков'!$J$3)),0),0)),"","МП,")
&amp;IF(ISERROR(MATCH(1,INDEX(('Списки блоков'!$K$2:$K986=B17)*(ROW('Списки блоков'!$K$2:$K986)&lt;&gt;ROW('Списки блоков'!$K$3)),0),0)),"","Профорги,")
&amp;IF(ISERROR(MATCH(1,INDEX(('Списки блоков'!$L$2:$L986=B17)*(ROW('Списки блоков'!$L$2:$L986)&lt;&gt;ROW('Списки блоков'!$L$3)),0),0)),"","Спонсоры,")
&amp;IF(ISERROR(MATCH(1,INDEX(('Списки блоков'!$M$2:$M986=B17)*(ROW('Списки блоков'!$M$2:$M986)&lt;&gt;ROW('Списки блоков'!$M$3)),0),0)),"","Склад,")
&amp;IF(ISERROR(MATCH(1,INDEX(('Списки блоков'!$N$2:$N986=B17)*(ROW('Списки блоков'!$N$2:$N986)&lt;&gt;ROW('Списки блоков'!$N$3)),0),0)),"","Сценаристы,")
&amp;IF(ISERROR(MATCH(1,INDEX(('Списки блоков'!$O$2:$O986=B17)*(ROW('Списки блоков'!$O$2:$O986)&lt;&gt;ROW('Списки блоков'!$O$3)),0),0)),"","Техники,")
&amp;IF(ISERROR(MATCH(1,INDEX(('Списки блоков'!$P$2:$P986=B17)*(ROW('Списки блоков'!$P$2:$P986)&lt;&gt;ROW('Списки блоков'!$P$3)),0),0)),"","УРС,")
&amp;IF(ISERROR(MATCH(1,INDEX(('Списки блоков'!$Q$2:$Q986=B17)*(ROW('Списки блоков'!$Q$2:$Q986)&lt;&gt;ROW('Списки блоков'!$Q$3)),0),0)),"","Фото,")
&amp;IF(ISERROR(MATCH(1,INDEX((#REF!=B17)*(ROW(#REF!)&lt;&gt;ROW(#REF!)),0),0)),"","ЭкоБлок,")
&amp;IF(ISERROR(MATCH(1,INDEX(('Списки блоков'!$R$2:$R986=B17)*(ROW('Списки блоков'!$R$2:$R986)&lt;&gt;ROW('Списки блоков'!$R$3)),0),0)),"","HR,")
&amp;IF(ISERROR(MATCH(1,INDEX(('Списки блоков'!$S$2:$S986=B17)*(ROW('Списки блоков'!$S$2:$S986)&lt;&gt;ROW('Списки блоков'!$S$3)),0),0)),"","Instagram,")
&amp;IF(ISERROR(MATCH(1,INDEX(('Списки блоков'!$T$2:$T986=B17)*(ROW('Списки блоков'!$T$2:$T986)&lt;&gt;ROW('Списки блоков'!$T$3)),0),0)),"","Zachёt,")
&amp;IF(ISERROR(MATCH(1,INDEX(('Списки блоков'!$U$2:$U986=B17)*(ROW('Списки блоков'!$U$2:$U986)&lt;&gt;ROW('Списки блоков'!$U$3)),0),0)),"","IT,")
&amp;IF(ISERROR(MATCH(1,INDEX(('Списки блоков'!$V$2:$V986=B17)*(ROW('Списки блоков'!$V$2:$V986)&lt;&gt;ROW('Списки блоков'!$V$3)),0),0)),"","ДК,")
</f>
        <v>Декораторы,</v>
      </c>
      <c r="F17" s="4">
        <v>8.9088892318E10</v>
      </c>
      <c r="G17" s="5" t="s">
        <v>91</v>
      </c>
      <c r="H17" s="5" t="s">
        <v>92</v>
      </c>
      <c r="I17" s="2" t="s">
        <v>93</v>
      </c>
      <c r="J17" s="7" t="s">
        <v>22</v>
      </c>
    </row>
    <row r="18">
      <c r="A18" s="16" t="s">
        <v>94</v>
      </c>
      <c r="B18" s="2" t="str">
        <f t="shared" si="2"/>
        <v>Веревкин Илья</v>
      </c>
      <c r="C18" s="9">
        <v>111.0</v>
      </c>
      <c r="D18" s="10" t="s">
        <v>95</v>
      </c>
      <c r="E18" s="2" t="str">
        <f t="array" ref="E18">IF(ISERROR(MATCH(1,INDEX(('Списки блоков'!$B$2:$B986=B18)*(ROW('Списки блоков'!$B$2:$B986)&lt;&gt;ROW('Списки блоков'!$B$3)),0),0)),"","БДНС,")
&amp;IF(ISERROR(MATCH(1,INDEX(('Списки блоков'!$C$2:$C986=B18)*(ROW('Списки блоков'!$C$2:$C986)&lt;&gt;ROW('Списки блоков'!$C$3)),0),0)),"","Видеолаба,")
&amp;IF(ISERROR(MATCH(1,INDEX(('Списки блоков'!$D$2:$D986=B18)*(ROW('Списки блоков'!$D$2:$D986)&lt;&gt;ROW('Списки блоков'!$D$3)),0),0)),"","Декораторы,")
&amp;IF(ISERROR(MATCH(1,INDEX(('Списки блоков'!$E$2:$E986=B18)*(ROW('Списки блоков'!$E$2:$E986)&lt;&gt;ROW('Списки блоков'!$E$3)),0),0)),"","Дизайн,")
&amp;IF(ISERROR(MATCH(1,INDEX(('Списки блоков'!$F$2:$F986=B18)*(ROW('Списки блоков'!$F$2:$F986)&lt;&gt;ROW('Списки блоков'!$F$3)),0),0)),"","Досуг,")
&amp;IF(ISERROR(MATCH(1,INDEX(('Списки блоков'!$G$2:$G986=B18)*(ROW('Списки блоков'!$G$2:$G986)&lt;&gt;ROW('Списки блоков'!$G$3)),0),0)),"","Закупки,")
&amp;IF(ISERROR(MATCH(1,INDEX(('Списки блоков'!$H$2:$H986=B18)*(ROW('Списки блоков'!$H$2:$H986)&lt;&gt;ROW('Списки блоков'!$H$3)),0),0)),"","ИнфоБлок,")
&amp;IF(ISERROR(MATCH(1,INDEX(('Списки блоков'!$I$2:$I986=B18)*(ROW('Списки блоков'!$I$2:$I986)&lt;&gt;ROW('Списки блоков'!$I$3)),0),0)),"","КГ,")
&amp;IF(ISERROR(MATCH(1,INDEX(('Списки блоков'!$J$2:$J986=B18)*(ROW('Списки блоков'!$J$2:$J986)&lt;&gt;ROW('Списки блоков'!$J$3)),0),0)),"","МП,")
&amp;IF(ISERROR(MATCH(1,INDEX(('Списки блоков'!$K$2:$K986=B18)*(ROW('Списки блоков'!$K$2:$K986)&lt;&gt;ROW('Списки блоков'!$K$3)),0),0)),"","Профорги,")
&amp;IF(ISERROR(MATCH(1,INDEX(('Списки блоков'!$L$2:$L986=B18)*(ROW('Списки блоков'!$L$2:$L986)&lt;&gt;ROW('Списки блоков'!$L$3)),0),0)),"","Спонсоры,")
&amp;IF(ISERROR(MATCH(1,INDEX(('Списки блоков'!$M$2:$M986=B18)*(ROW('Списки блоков'!$M$2:$M986)&lt;&gt;ROW('Списки блоков'!$M$3)),0),0)),"","Склад,")
&amp;IF(ISERROR(MATCH(1,INDEX(('Списки блоков'!$N$2:$N986=B18)*(ROW('Списки блоков'!$N$2:$N986)&lt;&gt;ROW('Списки блоков'!$N$3)),0),0)),"","Сценаристы,")
&amp;IF(ISERROR(MATCH(1,INDEX(('Списки блоков'!$O$2:$O986=B18)*(ROW('Списки блоков'!$O$2:$O986)&lt;&gt;ROW('Списки блоков'!$O$3)),0),0)),"","Техники,")
&amp;IF(ISERROR(MATCH(1,INDEX(('Списки блоков'!$P$2:$P986=B18)*(ROW('Списки блоков'!$P$2:$P986)&lt;&gt;ROW('Списки блоков'!$P$3)),0),0)),"","УРС,")
&amp;IF(ISERROR(MATCH(1,INDEX(('Списки блоков'!$Q$2:$Q986=B18)*(ROW('Списки блоков'!$Q$2:$Q986)&lt;&gt;ROW('Списки блоков'!$Q$3)),0),0)),"","Фото,")
&amp;IF(ISERROR(MATCH(1,INDEX((#REF!=B18)*(ROW(#REF!)&lt;&gt;ROW(#REF!)),0),0)),"","ЭкоБлок,")
&amp;IF(ISERROR(MATCH(1,INDEX(('Списки блоков'!$R$2:$R986=B18)*(ROW('Списки блоков'!$R$2:$R986)&lt;&gt;ROW('Списки блоков'!$R$3)),0),0)),"","HR,")
&amp;IF(ISERROR(MATCH(1,INDEX(('Списки блоков'!$S$2:$S986=B18)*(ROW('Списки блоков'!$S$2:$S986)&lt;&gt;ROW('Списки блоков'!$S$3)),0),0)),"","Instagram,")
&amp;IF(ISERROR(MATCH(1,INDEX(('Списки блоков'!$T$2:$T986=B18)*(ROW('Списки блоков'!$T$2:$T986)&lt;&gt;ROW('Списки блоков'!$T$3)),0),0)),"","Zachёt,")
&amp;IF(ISERROR(MATCH(1,INDEX(('Списки блоков'!$U$2:$U986=B18)*(ROW('Списки блоков'!$U$2:$U986)&lt;&gt;ROW('Списки блоков'!$U$3)),0),0)),"","IT,")
&amp;IF(ISERROR(MATCH(1,INDEX(('Списки блоков'!$V$2:$V986=B18)*(ROW('Списки блоков'!$V$2:$V986)&lt;&gt;ROW('Списки блоков'!$V$3)),0),0)),"","ДК,")
</f>
        <v>Спонсоры,Техники,</v>
      </c>
      <c r="F18" s="14">
        <v>8.983529884E10</v>
      </c>
      <c r="G18" s="12" t="s">
        <v>96</v>
      </c>
      <c r="H18" s="10" t="s">
        <v>97</v>
      </c>
      <c r="I18" s="10" t="s">
        <v>98</v>
      </c>
      <c r="J18" s="6" t="s">
        <v>22</v>
      </c>
    </row>
    <row r="19">
      <c r="A19" s="10" t="s">
        <v>99</v>
      </c>
      <c r="B19" s="2" t="str">
        <f t="shared" si="2"/>
        <v>Винокуров Кирилл</v>
      </c>
      <c r="C19" s="9">
        <v>321.0</v>
      </c>
      <c r="D19" s="10" t="s">
        <v>100</v>
      </c>
      <c r="E19" s="2" t="str">
        <f t="array" ref="E19">IF(ISERROR(MATCH(1,INDEX(('Списки блоков'!$B$2:$B986=B19)*(ROW('Списки блоков'!$B$2:$B986)&lt;&gt;ROW('Списки блоков'!$B$3)),0),0)),"","БДНС,")
&amp;IF(ISERROR(MATCH(1,INDEX(('Списки блоков'!$C$2:$C986=B19)*(ROW('Списки блоков'!$C$2:$C986)&lt;&gt;ROW('Списки блоков'!$C$3)),0),0)),"","Видеолаба,")
&amp;IF(ISERROR(MATCH(1,INDEX(('Списки блоков'!$D$2:$D986=B19)*(ROW('Списки блоков'!$D$2:$D986)&lt;&gt;ROW('Списки блоков'!$D$3)),0),0)),"","Декораторы,")
&amp;IF(ISERROR(MATCH(1,INDEX(('Списки блоков'!$E$2:$E986=B19)*(ROW('Списки блоков'!$E$2:$E986)&lt;&gt;ROW('Списки блоков'!$E$3)),0),0)),"","Дизайн,")
&amp;IF(ISERROR(MATCH(1,INDEX(('Списки блоков'!$F$2:$F986=B19)*(ROW('Списки блоков'!$F$2:$F986)&lt;&gt;ROW('Списки блоков'!$F$3)),0),0)),"","Досуг,")
&amp;IF(ISERROR(MATCH(1,INDEX(('Списки блоков'!$G$2:$G986=B19)*(ROW('Списки блоков'!$G$2:$G986)&lt;&gt;ROW('Списки блоков'!$G$3)),0),0)),"","Закупки,")
&amp;IF(ISERROR(MATCH(1,INDEX(('Списки блоков'!$H$2:$H986=B19)*(ROW('Списки блоков'!$H$2:$H986)&lt;&gt;ROW('Списки блоков'!$H$3)),0),0)),"","ИнфоБлок,")
&amp;IF(ISERROR(MATCH(1,INDEX(('Списки блоков'!$I$2:$I986=B19)*(ROW('Списки блоков'!$I$2:$I986)&lt;&gt;ROW('Списки блоков'!$I$3)),0),0)),"","КГ,")
&amp;IF(ISERROR(MATCH(1,INDEX(('Списки блоков'!$J$2:$J986=B19)*(ROW('Списки блоков'!$J$2:$J986)&lt;&gt;ROW('Списки блоков'!$J$3)),0),0)),"","МП,")
&amp;IF(ISERROR(MATCH(1,INDEX(('Списки блоков'!$K$2:$K986=B19)*(ROW('Списки блоков'!$K$2:$K986)&lt;&gt;ROW('Списки блоков'!$K$3)),0),0)),"","Профорги,")
&amp;IF(ISERROR(MATCH(1,INDEX(('Списки блоков'!$L$2:$L986=B19)*(ROW('Списки блоков'!$L$2:$L986)&lt;&gt;ROW('Списки блоков'!$L$3)),0),0)),"","Спонсоры,")
&amp;IF(ISERROR(MATCH(1,INDEX(('Списки блоков'!$M$2:$M986=B19)*(ROW('Списки блоков'!$M$2:$M986)&lt;&gt;ROW('Списки блоков'!$M$3)),0),0)),"","Склад,")
&amp;IF(ISERROR(MATCH(1,INDEX(('Списки блоков'!$N$2:$N986=B19)*(ROW('Списки блоков'!$N$2:$N986)&lt;&gt;ROW('Списки блоков'!$N$3)),0),0)),"","Сценаристы,")
&amp;IF(ISERROR(MATCH(1,INDEX(('Списки блоков'!$O$2:$O986=B19)*(ROW('Списки блоков'!$O$2:$O986)&lt;&gt;ROW('Списки блоков'!$O$3)),0),0)),"","Техники,")
&amp;IF(ISERROR(MATCH(1,INDEX(('Списки блоков'!$P$2:$P986=B19)*(ROW('Списки блоков'!$P$2:$P986)&lt;&gt;ROW('Списки блоков'!$P$3)),0),0)),"","УРС,")
&amp;IF(ISERROR(MATCH(1,INDEX(('Списки блоков'!$Q$2:$Q986=B19)*(ROW('Списки блоков'!$Q$2:$Q986)&lt;&gt;ROW('Списки блоков'!$Q$3)),0),0)),"","Фото,")
&amp;IF(ISERROR(MATCH(1,INDEX((#REF!=B19)*(ROW(#REF!)&lt;&gt;ROW(#REF!)),0),0)),"","ЭкоБлок,")
&amp;IF(ISERROR(MATCH(1,INDEX(('Списки блоков'!$R$2:$R986=B19)*(ROW('Списки блоков'!$R$2:$R986)&lt;&gt;ROW('Списки блоков'!$R$3)),0),0)),"","HR,")
&amp;IF(ISERROR(MATCH(1,INDEX(('Списки блоков'!$S$2:$S986=B19)*(ROW('Списки блоков'!$S$2:$S986)&lt;&gt;ROW('Списки блоков'!$S$3)),0),0)),"","Instagram,")
&amp;IF(ISERROR(MATCH(1,INDEX(('Списки блоков'!$T$2:$T986=B19)*(ROW('Списки блоков'!$T$2:$T986)&lt;&gt;ROW('Списки блоков'!$T$3)),0),0)),"","Zachёt,")
&amp;IF(ISERROR(MATCH(1,INDEX(('Списки блоков'!$U$2:$U986=B19)*(ROW('Списки блоков'!$U$2:$U986)&lt;&gt;ROW('Списки блоков'!$U$3)),0),0)),"","IT,")
&amp;IF(ISERROR(MATCH(1,INDEX(('Списки блоков'!$V$2:$V986=B19)*(ROW('Списки блоков'!$V$2:$V986)&lt;&gt;ROW('Списки блоков'!$V$3)),0),0)),"","ДК,")
</f>
        <v>БДНС,Видеолаба,Декораторы,Дизайн,Склад,Сценаристы,Техники,HR,ДК,</v>
      </c>
      <c r="F19" s="14">
        <v>8.9099902934E10</v>
      </c>
      <c r="G19" s="12" t="s">
        <v>101</v>
      </c>
      <c r="H19" s="10" t="s">
        <v>102</v>
      </c>
      <c r="I19" s="10" t="s">
        <v>103</v>
      </c>
      <c r="J19" s="6" t="s">
        <v>22</v>
      </c>
    </row>
    <row r="20">
      <c r="A20" s="10" t="s">
        <v>104</v>
      </c>
      <c r="B20" s="2" t="str">
        <f t="shared" si="2"/>
        <v>Вожга Маргарита</v>
      </c>
      <c r="C20" s="9">
        <v>312.0</v>
      </c>
      <c r="D20" s="10" t="s">
        <v>105</v>
      </c>
      <c r="E20" s="2" t="str">
        <f t="array" ref="E20">IF(ISERROR(MATCH(1,INDEX(('Списки блоков'!$B$2:$B986=B20)*(ROW('Списки блоков'!$B$2:$B986)&lt;&gt;ROW('Списки блоков'!$B$3)),0),0)),"","БДНС,")
&amp;IF(ISERROR(MATCH(1,INDEX(('Списки блоков'!$C$2:$C986=B20)*(ROW('Списки блоков'!$C$2:$C986)&lt;&gt;ROW('Списки блоков'!$C$3)),0),0)),"","Видеолаба,")
&amp;IF(ISERROR(MATCH(1,INDEX(('Списки блоков'!$D$2:$D986=B20)*(ROW('Списки блоков'!$D$2:$D986)&lt;&gt;ROW('Списки блоков'!$D$3)),0),0)),"","Декораторы,")
&amp;IF(ISERROR(MATCH(1,INDEX(('Списки блоков'!$E$2:$E986=B20)*(ROW('Списки блоков'!$E$2:$E986)&lt;&gt;ROW('Списки блоков'!$E$3)),0),0)),"","Дизайн,")
&amp;IF(ISERROR(MATCH(1,INDEX(('Списки блоков'!$F$2:$F986=B20)*(ROW('Списки блоков'!$F$2:$F986)&lt;&gt;ROW('Списки блоков'!$F$3)),0),0)),"","Досуг,")
&amp;IF(ISERROR(MATCH(1,INDEX(('Списки блоков'!$G$2:$G986=B20)*(ROW('Списки блоков'!$G$2:$G986)&lt;&gt;ROW('Списки блоков'!$G$3)),0),0)),"","Закупки,")
&amp;IF(ISERROR(MATCH(1,INDEX(('Списки блоков'!$H$2:$H986=B20)*(ROW('Списки блоков'!$H$2:$H986)&lt;&gt;ROW('Списки блоков'!$H$3)),0),0)),"","ИнфоБлок,")
&amp;IF(ISERROR(MATCH(1,INDEX(('Списки блоков'!$I$2:$I986=B20)*(ROW('Списки блоков'!$I$2:$I986)&lt;&gt;ROW('Списки блоков'!$I$3)),0),0)),"","КГ,")
&amp;IF(ISERROR(MATCH(1,INDEX(('Списки блоков'!$J$2:$J986=B20)*(ROW('Списки блоков'!$J$2:$J986)&lt;&gt;ROW('Списки блоков'!$J$3)),0),0)),"","МП,")
&amp;IF(ISERROR(MATCH(1,INDEX(('Списки блоков'!$K$2:$K986=B20)*(ROW('Списки блоков'!$K$2:$K986)&lt;&gt;ROW('Списки блоков'!$K$3)),0),0)),"","Профорги,")
&amp;IF(ISERROR(MATCH(1,INDEX(('Списки блоков'!$L$2:$L986=B20)*(ROW('Списки блоков'!$L$2:$L986)&lt;&gt;ROW('Списки блоков'!$L$3)),0),0)),"","Спонсоры,")
&amp;IF(ISERROR(MATCH(1,INDEX(('Списки блоков'!$M$2:$M986=B20)*(ROW('Списки блоков'!$M$2:$M986)&lt;&gt;ROW('Списки блоков'!$M$3)),0),0)),"","Склад,")
&amp;IF(ISERROR(MATCH(1,INDEX(('Списки блоков'!$N$2:$N986=B20)*(ROW('Списки блоков'!$N$2:$N986)&lt;&gt;ROW('Списки блоков'!$N$3)),0),0)),"","Сценаристы,")
&amp;IF(ISERROR(MATCH(1,INDEX(('Списки блоков'!$O$2:$O986=B20)*(ROW('Списки блоков'!$O$2:$O986)&lt;&gt;ROW('Списки блоков'!$O$3)),0),0)),"","Техники,")
&amp;IF(ISERROR(MATCH(1,INDEX(('Списки блоков'!$P$2:$P986=B20)*(ROW('Списки блоков'!$P$2:$P986)&lt;&gt;ROW('Списки блоков'!$P$3)),0),0)),"","УРС,")
&amp;IF(ISERROR(MATCH(1,INDEX(('Списки блоков'!$Q$2:$Q986=B20)*(ROW('Списки блоков'!$Q$2:$Q986)&lt;&gt;ROW('Списки блоков'!$Q$3)),0),0)),"","Фото,")
&amp;IF(ISERROR(MATCH(1,INDEX((#REF!=B20)*(ROW(#REF!)&lt;&gt;ROW(#REF!)),0),0)),"","ЭкоБлок,")
&amp;IF(ISERROR(MATCH(1,INDEX(('Списки блоков'!$R$2:$R986=B20)*(ROW('Списки блоков'!$R$2:$R986)&lt;&gt;ROW('Списки блоков'!$R$3)),0),0)),"","HR,")
&amp;IF(ISERROR(MATCH(1,INDEX(('Списки блоков'!$S$2:$S986=B20)*(ROW('Списки блоков'!$S$2:$S986)&lt;&gt;ROW('Списки блоков'!$S$3)),0),0)),"","Instagram,")
&amp;IF(ISERROR(MATCH(1,INDEX(('Списки блоков'!$T$2:$T986=B20)*(ROW('Списки блоков'!$T$2:$T986)&lt;&gt;ROW('Списки блоков'!$T$3)),0),0)),"","Zachёt,")
&amp;IF(ISERROR(MATCH(1,INDEX(('Списки блоков'!$U$2:$U986=B20)*(ROW('Списки блоков'!$U$2:$U986)&lt;&gt;ROW('Списки блоков'!$U$3)),0),0)),"","IT,")
&amp;IF(ISERROR(MATCH(1,INDEX(('Списки блоков'!$V$2:$V986=B20)*(ROW('Списки блоков'!$V$2:$V986)&lt;&gt;ROW('Списки блоков'!$V$3)),0),0)),"","ДК,")
</f>
        <v>Instagram,</v>
      </c>
      <c r="F20" s="14">
        <v>8.9852183909E10</v>
      </c>
      <c r="G20" s="12" t="s">
        <v>106</v>
      </c>
      <c r="H20" s="10" t="s">
        <v>107</v>
      </c>
      <c r="I20" s="10" t="s">
        <v>108</v>
      </c>
      <c r="J20" s="6" t="s">
        <v>22</v>
      </c>
    </row>
    <row r="21">
      <c r="A21" s="6" t="s">
        <v>109</v>
      </c>
      <c r="B21" s="7" t="s">
        <v>110</v>
      </c>
      <c r="C21" s="9">
        <v>106.0</v>
      </c>
      <c r="D21" s="10" t="s">
        <v>111</v>
      </c>
      <c r="E21" s="2" t="str">
        <f t="array" ref="E21">IF(ISERROR(MATCH(1,INDEX(('Списки блоков'!$B$2:$B986=B21)*(ROW('Списки блоков'!$B$2:$B986)&lt;&gt;ROW('Списки блоков'!$B$3)),0),0)),"","БДНС,")
&amp;IF(ISERROR(MATCH(1,INDEX(('Списки блоков'!$C$2:$C986=B21)*(ROW('Списки блоков'!$C$2:$C986)&lt;&gt;ROW('Списки блоков'!$C$3)),0),0)),"","Видеолаба,")
&amp;IF(ISERROR(MATCH(1,INDEX(('Списки блоков'!$D$2:$D986=B21)*(ROW('Списки блоков'!$D$2:$D986)&lt;&gt;ROW('Списки блоков'!$D$3)),0),0)),"","Декораторы,")
&amp;IF(ISERROR(MATCH(1,INDEX(('Списки блоков'!$E$2:$E986=B21)*(ROW('Списки блоков'!$E$2:$E986)&lt;&gt;ROW('Списки блоков'!$E$3)),0),0)),"","Дизайн,")
&amp;IF(ISERROR(MATCH(1,INDEX(('Списки блоков'!$F$2:$F986=B21)*(ROW('Списки блоков'!$F$2:$F986)&lt;&gt;ROW('Списки блоков'!$F$3)),0),0)),"","Досуг,")
&amp;IF(ISERROR(MATCH(1,INDEX(('Списки блоков'!$G$2:$G986=B21)*(ROW('Списки блоков'!$G$2:$G986)&lt;&gt;ROW('Списки блоков'!$G$3)),0),0)),"","Закупки,")
&amp;IF(ISERROR(MATCH(1,INDEX(('Списки блоков'!$H$2:$H986=B21)*(ROW('Списки блоков'!$H$2:$H986)&lt;&gt;ROW('Списки блоков'!$H$3)),0),0)),"","ИнфоБлок,")
&amp;IF(ISERROR(MATCH(1,INDEX(('Списки блоков'!$I$2:$I986=B21)*(ROW('Списки блоков'!$I$2:$I986)&lt;&gt;ROW('Списки блоков'!$I$3)),0),0)),"","КГ,")
&amp;IF(ISERROR(MATCH(1,INDEX(('Списки блоков'!$J$2:$J986=B21)*(ROW('Списки блоков'!$J$2:$J986)&lt;&gt;ROW('Списки блоков'!$J$3)),0),0)),"","МП,")
&amp;IF(ISERROR(MATCH(1,INDEX(('Списки блоков'!$K$2:$K986=B21)*(ROW('Списки блоков'!$K$2:$K986)&lt;&gt;ROW('Списки блоков'!$K$3)),0),0)),"","Профорги,")
&amp;IF(ISERROR(MATCH(1,INDEX(('Списки блоков'!$L$2:$L986=B21)*(ROW('Списки блоков'!$L$2:$L986)&lt;&gt;ROW('Списки блоков'!$L$3)),0),0)),"","Спонсоры,")
&amp;IF(ISERROR(MATCH(1,INDEX(('Списки блоков'!$M$2:$M986=B21)*(ROW('Списки блоков'!$M$2:$M986)&lt;&gt;ROW('Списки блоков'!$M$3)),0),0)),"","Склад,")
&amp;IF(ISERROR(MATCH(1,INDEX(('Списки блоков'!$N$2:$N986=B21)*(ROW('Списки блоков'!$N$2:$N986)&lt;&gt;ROW('Списки блоков'!$N$3)),0),0)),"","Сценаристы,")
&amp;IF(ISERROR(MATCH(1,INDEX(('Списки блоков'!$O$2:$O986=B21)*(ROW('Списки блоков'!$O$2:$O986)&lt;&gt;ROW('Списки блоков'!$O$3)),0),0)),"","Техники,")
&amp;IF(ISERROR(MATCH(1,INDEX(('Списки блоков'!$P$2:$P986=B21)*(ROW('Списки блоков'!$P$2:$P986)&lt;&gt;ROW('Списки блоков'!$P$3)),0),0)),"","УРС,")
&amp;IF(ISERROR(MATCH(1,INDEX(('Списки блоков'!$Q$2:$Q986=B21)*(ROW('Списки блоков'!$Q$2:$Q986)&lt;&gt;ROW('Списки блоков'!$Q$3)),0),0)),"","Фото,")
&amp;IF(ISERROR(MATCH(1,INDEX((#REF!=B21)*(ROW(#REF!)&lt;&gt;ROW(#REF!)),0),0)),"","ЭкоБлок,")
&amp;IF(ISERROR(MATCH(1,INDEX(('Списки блоков'!$R$2:$R986=B21)*(ROW('Списки блоков'!$R$2:$R986)&lt;&gt;ROW('Списки блоков'!$R$3)),0),0)),"","HR,")
&amp;IF(ISERROR(MATCH(1,INDEX(('Списки блоков'!$S$2:$S986=B21)*(ROW('Списки блоков'!$S$2:$S986)&lt;&gt;ROW('Списки блоков'!$S$3)),0),0)),"","Instagram,")
&amp;IF(ISERROR(MATCH(1,INDEX(('Списки блоков'!$T$2:$T986=B21)*(ROW('Списки блоков'!$T$2:$T986)&lt;&gt;ROW('Списки блоков'!$T$3)),0),0)),"","Zachёt,")
&amp;IF(ISERROR(MATCH(1,INDEX(('Списки блоков'!$U$2:$U986=B21)*(ROW('Списки блоков'!$U$2:$U986)&lt;&gt;ROW('Списки блоков'!$U$3)),0),0)),"","IT,")
&amp;IF(ISERROR(MATCH(1,INDEX(('Списки блоков'!$V$2:$V986=B21)*(ROW('Списки блоков'!$V$2:$V986)&lt;&gt;ROW('Списки блоков'!$V$3)),0),0)),"","ДК,")
</f>
        <v>Дизайн,Техники,IT,</v>
      </c>
      <c r="F21" s="14">
        <v>8.9099257077E10</v>
      </c>
      <c r="G21" s="12" t="s">
        <v>112</v>
      </c>
      <c r="H21" s="12" t="s">
        <v>113</v>
      </c>
      <c r="I21" s="10" t="s">
        <v>114</v>
      </c>
      <c r="J21" s="6" t="s">
        <v>15</v>
      </c>
    </row>
    <row r="22">
      <c r="A22" s="10" t="s">
        <v>115</v>
      </c>
      <c r="B22" s="2" t="str">
        <f t="shared" ref="B22:B45" si="3">LEFT(A22,FIND(CHAR(160),SUBSTITUTE(A22," ",CHAR(160),2)) - 1)</f>
        <v>Габриелян Арина</v>
      </c>
      <c r="C22" s="9">
        <v>307.0</v>
      </c>
      <c r="D22" s="10" t="s">
        <v>116</v>
      </c>
      <c r="E22" s="2" t="str">
        <f t="array" ref="E22">IF(ISERROR(MATCH(1,INDEX(('Списки блоков'!$B$2:$B986=B22)*(ROW('Списки блоков'!$B$2:$B986)&lt;&gt;ROW('Списки блоков'!$B$3)),0),0)),"","БДНС,")
&amp;IF(ISERROR(MATCH(1,INDEX(('Списки блоков'!$C$2:$C986=B22)*(ROW('Списки блоков'!$C$2:$C986)&lt;&gt;ROW('Списки блоков'!$C$3)),0),0)),"","Видеолаба,")
&amp;IF(ISERROR(MATCH(1,INDEX(('Списки блоков'!$D$2:$D986=B22)*(ROW('Списки блоков'!$D$2:$D986)&lt;&gt;ROW('Списки блоков'!$D$3)),0),0)),"","Декораторы,")
&amp;IF(ISERROR(MATCH(1,INDEX(('Списки блоков'!$E$2:$E986=B22)*(ROW('Списки блоков'!$E$2:$E986)&lt;&gt;ROW('Списки блоков'!$E$3)),0),0)),"","Дизайн,")
&amp;IF(ISERROR(MATCH(1,INDEX(('Списки блоков'!$F$2:$F986=B22)*(ROW('Списки блоков'!$F$2:$F986)&lt;&gt;ROW('Списки блоков'!$F$3)),0),0)),"","Досуг,")
&amp;IF(ISERROR(MATCH(1,INDEX(('Списки блоков'!$G$2:$G986=B22)*(ROW('Списки блоков'!$G$2:$G986)&lt;&gt;ROW('Списки блоков'!$G$3)),0),0)),"","Закупки,")
&amp;IF(ISERROR(MATCH(1,INDEX(('Списки блоков'!$H$2:$H986=B22)*(ROW('Списки блоков'!$H$2:$H986)&lt;&gt;ROW('Списки блоков'!$H$3)),0),0)),"","ИнфоБлок,")
&amp;IF(ISERROR(MATCH(1,INDEX(('Списки блоков'!$I$2:$I986=B22)*(ROW('Списки блоков'!$I$2:$I986)&lt;&gt;ROW('Списки блоков'!$I$3)),0),0)),"","КГ,")
&amp;IF(ISERROR(MATCH(1,INDEX(('Списки блоков'!$J$2:$J986=B22)*(ROW('Списки блоков'!$J$2:$J986)&lt;&gt;ROW('Списки блоков'!$J$3)),0),0)),"","МП,")
&amp;IF(ISERROR(MATCH(1,INDEX(('Списки блоков'!$K$2:$K986=B22)*(ROW('Списки блоков'!$K$2:$K986)&lt;&gt;ROW('Списки блоков'!$K$3)),0),0)),"","Профорги,")
&amp;IF(ISERROR(MATCH(1,INDEX(('Списки блоков'!$L$2:$L986=B22)*(ROW('Списки блоков'!$L$2:$L986)&lt;&gt;ROW('Списки блоков'!$L$3)),0),0)),"","Спонсоры,")
&amp;IF(ISERROR(MATCH(1,INDEX(('Списки блоков'!$M$2:$M986=B22)*(ROW('Списки блоков'!$M$2:$M986)&lt;&gt;ROW('Списки блоков'!$M$3)),0),0)),"","Склад,")
&amp;IF(ISERROR(MATCH(1,INDEX(('Списки блоков'!$N$2:$N986=B22)*(ROW('Списки блоков'!$N$2:$N986)&lt;&gt;ROW('Списки блоков'!$N$3)),0),0)),"","Сценаристы,")
&amp;IF(ISERROR(MATCH(1,INDEX(('Списки блоков'!$O$2:$O986=B22)*(ROW('Списки блоков'!$O$2:$O986)&lt;&gt;ROW('Списки блоков'!$O$3)),0),0)),"","Техники,")
&amp;IF(ISERROR(MATCH(1,INDEX(('Списки блоков'!$P$2:$P986=B22)*(ROW('Списки блоков'!$P$2:$P986)&lt;&gt;ROW('Списки блоков'!$P$3)),0),0)),"","УРС,")
&amp;IF(ISERROR(MATCH(1,INDEX(('Списки блоков'!$Q$2:$Q986=B22)*(ROW('Списки блоков'!$Q$2:$Q986)&lt;&gt;ROW('Списки блоков'!$Q$3)),0),0)),"","Фото,")
&amp;IF(ISERROR(MATCH(1,INDEX((#REF!=B22)*(ROW(#REF!)&lt;&gt;ROW(#REF!)),0),0)),"","ЭкоБлок,")
&amp;IF(ISERROR(MATCH(1,INDEX(('Списки блоков'!$R$2:$R986=B22)*(ROW('Списки блоков'!$R$2:$R986)&lt;&gt;ROW('Списки блоков'!$R$3)),0),0)),"","HR,")
&amp;IF(ISERROR(MATCH(1,INDEX(('Списки блоков'!$S$2:$S986=B22)*(ROW('Списки блоков'!$S$2:$S986)&lt;&gt;ROW('Списки блоков'!$S$3)),0),0)),"","Instagram,")
&amp;IF(ISERROR(MATCH(1,INDEX(('Списки блоков'!$T$2:$T986=B22)*(ROW('Списки блоков'!$T$2:$T986)&lt;&gt;ROW('Списки блоков'!$T$3)),0),0)),"","Zachёt,")
&amp;IF(ISERROR(MATCH(1,INDEX(('Списки блоков'!$U$2:$U986=B22)*(ROW('Списки блоков'!$U$2:$U986)&lt;&gt;ROW('Списки блоков'!$U$3)),0),0)),"","IT,")
&amp;IF(ISERROR(MATCH(1,INDEX(('Списки блоков'!$V$2:$V986=B22)*(ROW('Списки блоков'!$V$2:$V986)&lt;&gt;ROW('Списки блоков'!$V$3)),0),0)),"","ДК,")
</f>
        <v>Закупки,ИнфоБлок,КГ,</v>
      </c>
      <c r="F22" s="11">
        <v>8.9055977141E10</v>
      </c>
      <c r="G22" s="10" t="s">
        <v>117</v>
      </c>
      <c r="H22" s="10" t="s">
        <v>118</v>
      </c>
      <c r="I22" s="10" t="s">
        <v>119</v>
      </c>
      <c r="J22" s="6" t="s">
        <v>15</v>
      </c>
    </row>
    <row r="23">
      <c r="A23" s="2" t="s">
        <v>120</v>
      </c>
      <c r="B23" s="2" t="str">
        <f t="shared" si="3"/>
        <v>Глазунов Матвей</v>
      </c>
      <c r="C23" s="3">
        <v>317.0</v>
      </c>
      <c r="D23" s="2" t="s">
        <v>50</v>
      </c>
      <c r="E23" s="2" t="str">
        <f t="array" ref="E23">IF(ISERROR(MATCH(1,INDEX(('Списки блоков'!$B$2:$B986=B23)*(ROW('Списки блоков'!$B$2:$B986)&lt;&gt;ROW('Списки блоков'!$B$3)),0),0)),"","БДНС,")
&amp;IF(ISERROR(MATCH(1,INDEX(('Списки блоков'!$C$2:$C986=B23)*(ROW('Списки блоков'!$C$2:$C986)&lt;&gt;ROW('Списки блоков'!$C$3)),0),0)),"","Видеолаба,")
&amp;IF(ISERROR(MATCH(1,INDEX(('Списки блоков'!$D$2:$D986=B23)*(ROW('Списки блоков'!$D$2:$D986)&lt;&gt;ROW('Списки блоков'!$D$3)),0),0)),"","Декораторы,")
&amp;IF(ISERROR(MATCH(1,INDEX(('Списки блоков'!$E$2:$E986=B23)*(ROW('Списки блоков'!$E$2:$E986)&lt;&gt;ROW('Списки блоков'!$E$3)),0),0)),"","Дизайн,")
&amp;IF(ISERROR(MATCH(1,INDEX(('Списки блоков'!$F$2:$F986=B23)*(ROW('Списки блоков'!$F$2:$F986)&lt;&gt;ROW('Списки блоков'!$F$3)),0),0)),"","Досуг,")
&amp;IF(ISERROR(MATCH(1,INDEX(('Списки блоков'!$G$2:$G986=B23)*(ROW('Списки блоков'!$G$2:$G986)&lt;&gt;ROW('Списки блоков'!$G$3)),0),0)),"","Закупки,")
&amp;IF(ISERROR(MATCH(1,INDEX(('Списки блоков'!$H$2:$H986=B23)*(ROW('Списки блоков'!$H$2:$H986)&lt;&gt;ROW('Списки блоков'!$H$3)),0),0)),"","ИнфоБлок,")
&amp;IF(ISERROR(MATCH(1,INDEX(('Списки блоков'!$I$2:$I986=B23)*(ROW('Списки блоков'!$I$2:$I986)&lt;&gt;ROW('Списки блоков'!$I$3)),0),0)),"","КГ,")
&amp;IF(ISERROR(MATCH(1,INDEX(('Списки блоков'!$J$2:$J986=B23)*(ROW('Списки блоков'!$J$2:$J986)&lt;&gt;ROW('Списки блоков'!$J$3)),0),0)),"","МП,")
&amp;IF(ISERROR(MATCH(1,INDEX(('Списки блоков'!$K$2:$K986=B23)*(ROW('Списки блоков'!$K$2:$K986)&lt;&gt;ROW('Списки блоков'!$K$3)),0),0)),"","Профорги,")
&amp;IF(ISERROR(MATCH(1,INDEX(('Списки блоков'!$L$2:$L986=B23)*(ROW('Списки блоков'!$L$2:$L986)&lt;&gt;ROW('Списки блоков'!$L$3)),0),0)),"","Спонсоры,")
&amp;IF(ISERROR(MATCH(1,INDEX(('Списки блоков'!$M$2:$M986=B23)*(ROW('Списки блоков'!$M$2:$M986)&lt;&gt;ROW('Списки блоков'!$M$3)),0),0)),"","Склад,")
&amp;IF(ISERROR(MATCH(1,INDEX(('Списки блоков'!$N$2:$N986=B23)*(ROW('Списки блоков'!$N$2:$N986)&lt;&gt;ROW('Списки блоков'!$N$3)),0),0)),"","Сценаристы,")
&amp;IF(ISERROR(MATCH(1,INDEX(('Списки блоков'!$O$2:$O986=B23)*(ROW('Списки блоков'!$O$2:$O986)&lt;&gt;ROW('Списки блоков'!$O$3)),0),0)),"","Техники,")
&amp;IF(ISERROR(MATCH(1,INDEX(('Списки блоков'!$P$2:$P986=B23)*(ROW('Списки блоков'!$P$2:$P986)&lt;&gt;ROW('Списки блоков'!$P$3)),0),0)),"","УРС,")
&amp;IF(ISERROR(MATCH(1,INDEX(('Списки блоков'!$Q$2:$Q986=B23)*(ROW('Списки блоков'!$Q$2:$Q986)&lt;&gt;ROW('Списки блоков'!$Q$3)),0),0)),"","Фото,")
&amp;IF(ISERROR(MATCH(1,INDEX((#REF!=B23)*(ROW(#REF!)&lt;&gt;ROW(#REF!)),0),0)),"","ЭкоБлок,")
&amp;IF(ISERROR(MATCH(1,INDEX(('Списки блоков'!$R$2:$R986=B23)*(ROW('Списки блоков'!$R$2:$R986)&lt;&gt;ROW('Списки блоков'!$R$3)),0),0)),"","HR,")
&amp;IF(ISERROR(MATCH(1,INDEX(('Списки блоков'!$S$2:$S986=B23)*(ROW('Списки блоков'!$S$2:$S986)&lt;&gt;ROW('Списки блоков'!$S$3)),0),0)),"","Instagram,")
&amp;IF(ISERROR(MATCH(1,INDEX(('Списки блоков'!$T$2:$T986=B23)*(ROW('Списки блоков'!$T$2:$T986)&lt;&gt;ROW('Списки блоков'!$T$3)),0),0)),"","Zachёt,")
&amp;IF(ISERROR(MATCH(1,INDEX(('Списки блоков'!$U$2:$U986=B23)*(ROW('Списки блоков'!$U$2:$U986)&lt;&gt;ROW('Списки блоков'!$U$3)),0),0)),"","IT,")
&amp;IF(ISERROR(MATCH(1,INDEX(('Списки блоков'!$V$2:$V986=B23)*(ROW('Списки блоков'!$V$2:$V986)&lt;&gt;ROW('Списки блоков'!$V$3)),0),0)),"","ДК,")
</f>
        <v>Видеолаба,Дизайн,</v>
      </c>
      <c r="F23" s="2" t="s">
        <v>121</v>
      </c>
      <c r="G23" s="5" t="s">
        <v>122</v>
      </c>
      <c r="H23" s="5" t="s">
        <v>123</v>
      </c>
      <c r="I23" s="2" t="s">
        <v>124</v>
      </c>
      <c r="J23" s="7" t="s">
        <v>22</v>
      </c>
    </row>
    <row r="24">
      <c r="A24" s="10" t="s">
        <v>125</v>
      </c>
      <c r="B24" s="2" t="str">
        <f t="shared" si="3"/>
        <v>Глущенко Анна</v>
      </c>
      <c r="C24" s="9">
        <v>327.0</v>
      </c>
      <c r="D24" s="10" t="s">
        <v>126</v>
      </c>
      <c r="E24" s="2" t="str">
        <f t="array" ref="E24">IF(ISERROR(MATCH(1,INDEX(('Списки блоков'!$B$2:$B986=B24)*(ROW('Списки блоков'!$B$2:$B986)&lt;&gt;ROW('Списки блоков'!$B$3)),0),0)),"","БДНС,")
&amp;IF(ISERROR(MATCH(1,INDEX(('Списки блоков'!$C$2:$C986=B24)*(ROW('Списки блоков'!$C$2:$C986)&lt;&gt;ROW('Списки блоков'!$C$3)),0),0)),"","Видеолаба,")
&amp;IF(ISERROR(MATCH(1,INDEX(('Списки блоков'!$D$2:$D986=B24)*(ROW('Списки блоков'!$D$2:$D986)&lt;&gt;ROW('Списки блоков'!$D$3)),0),0)),"","Декораторы,")
&amp;IF(ISERROR(MATCH(1,INDEX(('Списки блоков'!$E$2:$E986=B24)*(ROW('Списки блоков'!$E$2:$E986)&lt;&gt;ROW('Списки блоков'!$E$3)),0),0)),"","Дизайн,")
&amp;IF(ISERROR(MATCH(1,INDEX(('Списки блоков'!$F$2:$F986=B24)*(ROW('Списки блоков'!$F$2:$F986)&lt;&gt;ROW('Списки блоков'!$F$3)),0),0)),"","Досуг,")
&amp;IF(ISERROR(MATCH(1,INDEX(('Списки блоков'!$G$2:$G986=B24)*(ROW('Списки блоков'!$G$2:$G986)&lt;&gt;ROW('Списки блоков'!$G$3)),0),0)),"","Закупки,")
&amp;IF(ISERROR(MATCH(1,INDEX(('Списки блоков'!$H$2:$H986=B24)*(ROW('Списки блоков'!$H$2:$H986)&lt;&gt;ROW('Списки блоков'!$H$3)),0),0)),"","ИнфоБлок,")
&amp;IF(ISERROR(MATCH(1,INDEX(('Списки блоков'!$I$2:$I986=B24)*(ROW('Списки блоков'!$I$2:$I986)&lt;&gt;ROW('Списки блоков'!$I$3)),0),0)),"","КГ,")
&amp;IF(ISERROR(MATCH(1,INDEX(('Списки блоков'!$J$2:$J986=B24)*(ROW('Списки блоков'!$J$2:$J986)&lt;&gt;ROW('Списки блоков'!$J$3)),0),0)),"","МП,")
&amp;IF(ISERROR(MATCH(1,INDEX(('Списки блоков'!$K$2:$K986=B24)*(ROW('Списки блоков'!$K$2:$K986)&lt;&gt;ROW('Списки блоков'!$K$3)),0),0)),"","Профорги,")
&amp;IF(ISERROR(MATCH(1,INDEX(('Списки блоков'!$L$2:$L986=B24)*(ROW('Списки блоков'!$L$2:$L986)&lt;&gt;ROW('Списки блоков'!$L$3)),0),0)),"","Спонсоры,")
&amp;IF(ISERROR(MATCH(1,INDEX(('Списки блоков'!$M$2:$M986=B24)*(ROW('Списки блоков'!$M$2:$M986)&lt;&gt;ROW('Списки блоков'!$M$3)),0),0)),"","Склад,")
&amp;IF(ISERROR(MATCH(1,INDEX(('Списки блоков'!$N$2:$N986=B24)*(ROW('Списки блоков'!$N$2:$N986)&lt;&gt;ROW('Списки блоков'!$N$3)),0),0)),"","Сценаристы,")
&amp;IF(ISERROR(MATCH(1,INDEX(('Списки блоков'!$O$2:$O986=B24)*(ROW('Списки блоков'!$O$2:$O986)&lt;&gt;ROW('Списки блоков'!$O$3)),0),0)),"","Техники,")
&amp;IF(ISERROR(MATCH(1,INDEX(('Списки блоков'!$P$2:$P986=B24)*(ROW('Списки блоков'!$P$2:$P986)&lt;&gt;ROW('Списки блоков'!$P$3)),0),0)),"","УРС,")
&amp;IF(ISERROR(MATCH(1,INDEX(('Списки блоков'!$Q$2:$Q986=B24)*(ROW('Списки блоков'!$Q$2:$Q986)&lt;&gt;ROW('Списки блоков'!$Q$3)),0),0)),"","Фото,")
&amp;IF(ISERROR(MATCH(1,INDEX((#REF!=B24)*(ROW(#REF!)&lt;&gt;ROW(#REF!)),0),0)),"","ЭкоБлок,")
&amp;IF(ISERROR(MATCH(1,INDEX(('Списки блоков'!$R$2:$R986=B24)*(ROW('Списки блоков'!$R$2:$R986)&lt;&gt;ROW('Списки блоков'!$R$3)),0),0)),"","HR,")
&amp;IF(ISERROR(MATCH(1,INDEX(('Списки блоков'!$S$2:$S986=B24)*(ROW('Списки блоков'!$S$2:$S986)&lt;&gt;ROW('Списки блоков'!$S$3)),0),0)),"","Instagram,")
&amp;IF(ISERROR(MATCH(1,INDEX(('Списки блоков'!$T$2:$T986=B24)*(ROW('Списки блоков'!$T$2:$T986)&lt;&gt;ROW('Списки блоков'!$T$3)),0),0)),"","Zachёt,")
&amp;IF(ISERROR(MATCH(1,INDEX(('Списки блоков'!$U$2:$U986=B24)*(ROW('Списки блоков'!$U$2:$U986)&lt;&gt;ROW('Списки блоков'!$U$3)),0),0)),"","IT,")
&amp;IF(ISERROR(MATCH(1,INDEX(('Списки блоков'!$V$2:$V986=B24)*(ROW('Списки блоков'!$V$2:$V986)&lt;&gt;ROW('Списки блоков'!$V$3)),0),0)),"","ДК,")
</f>
        <v>Дизайн,ИнфоБлок,МП,</v>
      </c>
      <c r="F24" s="11">
        <v>8.9268906082E10</v>
      </c>
      <c r="G24" s="12" t="s">
        <v>127</v>
      </c>
      <c r="H24" s="10" t="s">
        <v>128</v>
      </c>
      <c r="I24" s="10" t="s">
        <v>129</v>
      </c>
      <c r="J24" s="6" t="s">
        <v>22</v>
      </c>
    </row>
    <row r="25">
      <c r="A25" s="10" t="s">
        <v>130</v>
      </c>
      <c r="B25" s="2" t="str">
        <f t="shared" si="3"/>
        <v>Гребеньков Максим</v>
      </c>
      <c r="C25" s="9">
        <v>218.0</v>
      </c>
      <c r="D25" s="10" t="s">
        <v>131</v>
      </c>
      <c r="E25" s="2" t="str">
        <f t="array" ref="E25">IF(ISERROR(MATCH(1,INDEX(('Списки блоков'!$B$2:$B986=B25)*(ROW('Списки блоков'!$B$2:$B986)&lt;&gt;ROW('Списки блоков'!$B$3)),0),0)),"","БДНС,")
&amp;IF(ISERROR(MATCH(1,INDEX(('Списки блоков'!$C$2:$C986=B25)*(ROW('Списки блоков'!$C$2:$C986)&lt;&gt;ROW('Списки блоков'!$C$3)),0),0)),"","Видеолаба,")
&amp;IF(ISERROR(MATCH(1,INDEX(('Списки блоков'!$D$2:$D986=B25)*(ROW('Списки блоков'!$D$2:$D986)&lt;&gt;ROW('Списки блоков'!$D$3)),0),0)),"","Декораторы,")
&amp;IF(ISERROR(MATCH(1,INDEX(('Списки блоков'!$E$2:$E986=B25)*(ROW('Списки блоков'!$E$2:$E986)&lt;&gt;ROW('Списки блоков'!$E$3)),0),0)),"","Дизайн,")
&amp;IF(ISERROR(MATCH(1,INDEX(('Списки блоков'!$F$2:$F986=B25)*(ROW('Списки блоков'!$F$2:$F986)&lt;&gt;ROW('Списки блоков'!$F$3)),0),0)),"","Досуг,")
&amp;IF(ISERROR(MATCH(1,INDEX(('Списки блоков'!$G$2:$G986=B25)*(ROW('Списки блоков'!$G$2:$G986)&lt;&gt;ROW('Списки блоков'!$G$3)),0),0)),"","Закупки,")
&amp;IF(ISERROR(MATCH(1,INDEX(('Списки блоков'!$H$2:$H986=B25)*(ROW('Списки блоков'!$H$2:$H986)&lt;&gt;ROW('Списки блоков'!$H$3)),0),0)),"","ИнфоБлок,")
&amp;IF(ISERROR(MATCH(1,INDEX(('Списки блоков'!$I$2:$I986=B25)*(ROW('Списки блоков'!$I$2:$I986)&lt;&gt;ROW('Списки блоков'!$I$3)),0),0)),"","КГ,")
&amp;IF(ISERROR(MATCH(1,INDEX(('Списки блоков'!$J$2:$J986=B25)*(ROW('Списки блоков'!$J$2:$J986)&lt;&gt;ROW('Списки блоков'!$J$3)),0),0)),"","МП,")
&amp;IF(ISERROR(MATCH(1,INDEX(('Списки блоков'!$K$2:$K986=B25)*(ROW('Списки блоков'!$K$2:$K986)&lt;&gt;ROW('Списки блоков'!$K$3)),0),0)),"","Профорги,")
&amp;IF(ISERROR(MATCH(1,INDEX(('Списки блоков'!$L$2:$L986=B25)*(ROW('Списки блоков'!$L$2:$L986)&lt;&gt;ROW('Списки блоков'!$L$3)),0),0)),"","Спонсоры,")
&amp;IF(ISERROR(MATCH(1,INDEX(('Списки блоков'!$M$2:$M986=B25)*(ROW('Списки блоков'!$M$2:$M986)&lt;&gt;ROW('Списки блоков'!$M$3)),0),0)),"","Склад,")
&amp;IF(ISERROR(MATCH(1,INDEX(('Списки блоков'!$N$2:$N986=B25)*(ROW('Списки блоков'!$N$2:$N986)&lt;&gt;ROW('Списки блоков'!$N$3)),0),0)),"","Сценаристы,")
&amp;IF(ISERROR(MATCH(1,INDEX(('Списки блоков'!$O$2:$O986=B25)*(ROW('Списки блоков'!$O$2:$O986)&lt;&gt;ROW('Списки блоков'!$O$3)),0),0)),"","Техники,")
&amp;IF(ISERROR(MATCH(1,INDEX(('Списки блоков'!$P$2:$P986=B25)*(ROW('Списки блоков'!$P$2:$P986)&lt;&gt;ROW('Списки блоков'!$P$3)),0),0)),"","УРС,")
&amp;IF(ISERROR(MATCH(1,INDEX(('Списки блоков'!$Q$2:$Q986=B25)*(ROW('Списки блоков'!$Q$2:$Q986)&lt;&gt;ROW('Списки блоков'!$Q$3)),0),0)),"","Фото,")
&amp;IF(ISERROR(MATCH(1,INDEX((#REF!=B25)*(ROW(#REF!)&lt;&gt;ROW(#REF!)),0),0)),"","ЭкоБлок,")
&amp;IF(ISERROR(MATCH(1,INDEX(('Списки блоков'!$R$2:$R986=B25)*(ROW('Списки блоков'!$R$2:$R986)&lt;&gt;ROW('Списки блоков'!$R$3)),0),0)),"","HR,")
&amp;IF(ISERROR(MATCH(1,INDEX(('Списки блоков'!$S$2:$S986=B25)*(ROW('Списки блоков'!$S$2:$S986)&lt;&gt;ROW('Списки блоков'!$S$3)),0),0)),"","Instagram,")
&amp;IF(ISERROR(MATCH(1,INDEX(('Списки блоков'!$T$2:$T986=B25)*(ROW('Списки блоков'!$T$2:$T986)&lt;&gt;ROW('Списки блоков'!$T$3)),0),0)),"","Zachёt,")
&amp;IF(ISERROR(MATCH(1,INDEX(('Списки блоков'!$U$2:$U986=B25)*(ROW('Списки блоков'!$U$2:$U986)&lt;&gt;ROW('Списки блоков'!$U$3)),0),0)),"","IT,")
&amp;IF(ISERROR(MATCH(1,INDEX(('Списки блоков'!$V$2:$V986=B25)*(ROW('Списки блоков'!$V$2:$V986)&lt;&gt;ROW('Списки блоков'!$V$3)),0),0)),"","ДК,")
</f>
        <v>Видеолаба,Дизайн,Техники,</v>
      </c>
      <c r="F25" s="14">
        <v>8.9379655447E10</v>
      </c>
      <c r="G25" s="12" t="s">
        <v>132</v>
      </c>
      <c r="H25" s="10" t="s">
        <v>133</v>
      </c>
      <c r="I25" s="10" t="s">
        <v>134</v>
      </c>
      <c r="J25" s="6" t="s">
        <v>22</v>
      </c>
    </row>
    <row r="26">
      <c r="A26" s="10" t="s">
        <v>135</v>
      </c>
      <c r="B26" s="2" t="str">
        <f t="shared" si="3"/>
        <v>Григорьев Александр</v>
      </c>
      <c r="C26" s="9">
        <v>219.0</v>
      </c>
      <c r="D26" s="10" t="s">
        <v>136</v>
      </c>
      <c r="E26" s="2" t="str">
        <f t="array" ref="E26">IF(ISERROR(MATCH(1,INDEX(('Списки блоков'!$B$2:$B986=B26)*(ROW('Списки блоков'!$B$2:$B986)&lt;&gt;ROW('Списки блоков'!$B$3)),0),0)),"","БДНС,")
&amp;IF(ISERROR(MATCH(1,INDEX(('Списки блоков'!$C$2:$C986=B26)*(ROW('Списки блоков'!$C$2:$C986)&lt;&gt;ROW('Списки блоков'!$C$3)),0),0)),"","Видеолаба,")
&amp;IF(ISERROR(MATCH(1,INDEX(('Списки блоков'!$D$2:$D986=B26)*(ROW('Списки блоков'!$D$2:$D986)&lt;&gt;ROW('Списки блоков'!$D$3)),0),0)),"","Декораторы,")
&amp;IF(ISERROR(MATCH(1,INDEX(('Списки блоков'!$E$2:$E986=B26)*(ROW('Списки блоков'!$E$2:$E986)&lt;&gt;ROW('Списки блоков'!$E$3)),0),0)),"","Дизайн,")
&amp;IF(ISERROR(MATCH(1,INDEX(('Списки блоков'!$F$2:$F986=B26)*(ROW('Списки блоков'!$F$2:$F986)&lt;&gt;ROW('Списки блоков'!$F$3)),0),0)),"","Досуг,")
&amp;IF(ISERROR(MATCH(1,INDEX(('Списки блоков'!$G$2:$G986=B26)*(ROW('Списки блоков'!$G$2:$G986)&lt;&gt;ROW('Списки блоков'!$G$3)),0),0)),"","Закупки,")
&amp;IF(ISERROR(MATCH(1,INDEX(('Списки блоков'!$H$2:$H986=B26)*(ROW('Списки блоков'!$H$2:$H986)&lt;&gt;ROW('Списки блоков'!$H$3)),0),0)),"","ИнфоБлок,")
&amp;IF(ISERROR(MATCH(1,INDEX(('Списки блоков'!$I$2:$I986=B26)*(ROW('Списки блоков'!$I$2:$I986)&lt;&gt;ROW('Списки блоков'!$I$3)),0),0)),"","КГ,")
&amp;IF(ISERROR(MATCH(1,INDEX(('Списки блоков'!$J$2:$J986=B26)*(ROW('Списки блоков'!$J$2:$J986)&lt;&gt;ROW('Списки блоков'!$J$3)),0),0)),"","МП,")
&amp;IF(ISERROR(MATCH(1,INDEX(('Списки блоков'!$K$2:$K986=B26)*(ROW('Списки блоков'!$K$2:$K986)&lt;&gt;ROW('Списки блоков'!$K$3)),0),0)),"","Профорги,")
&amp;IF(ISERROR(MATCH(1,INDEX(('Списки блоков'!$L$2:$L986=B26)*(ROW('Списки блоков'!$L$2:$L986)&lt;&gt;ROW('Списки блоков'!$L$3)),0),0)),"","Спонсоры,")
&amp;IF(ISERROR(MATCH(1,INDEX(('Списки блоков'!$M$2:$M986=B26)*(ROW('Списки блоков'!$M$2:$M986)&lt;&gt;ROW('Списки блоков'!$M$3)),0),0)),"","Склад,")
&amp;IF(ISERROR(MATCH(1,INDEX(('Списки блоков'!$N$2:$N986=B26)*(ROW('Списки блоков'!$N$2:$N986)&lt;&gt;ROW('Списки блоков'!$N$3)),0),0)),"","Сценаристы,")
&amp;IF(ISERROR(MATCH(1,INDEX(('Списки блоков'!$O$2:$O986=B26)*(ROW('Списки блоков'!$O$2:$O986)&lt;&gt;ROW('Списки блоков'!$O$3)),0),0)),"","Техники,")
&amp;IF(ISERROR(MATCH(1,INDEX(('Списки блоков'!$P$2:$P986=B26)*(ROW('Списки блоков'!$P$2:$P986)&lt;&gt;ROW('Списки блоков'!$P$3)),0),0)),"","УРС,")
&amp;IF(ISERROR(MATCH(1,INDEX(('Списки блоков'!$Q$2:$Q986=B26)*(ROW('Списки блоков'!$Q$2:$Q986)&lt;&gt;ROW('Списки блоков'!$Q$3)),0),0)),"","Фото,")
&amp;IF(ISERROR(MATCH(1,INDEX((#REF!=B26)*(ROW(#REF!)&lt;&gt;ROW(#REF!)),0),0)),"","ЭкоБлок,")
&amp;IF(ISERROR(MATCH(1,INDEX(('Списки блоков'!$R$2:$R986=B26)*(ROW('Списки блоков'!$R$2:$R986)&lt;&gt;ROW('Списки блоков'!$R$3)),0),0)),"","HR,")
&amp;IF(ISERROR(MATCH(1,INDEX(('Списки блоков'!$S$2:$S986=B26)*(ROW('Списки блоков'!$S$2:$S986)&lt;&gt;ROW('Списки блоков'!$S$3)),0),0)),"","Instagram,")
&amp;IF(ISERROR(MATCH(1,INDEX(('Списки блоков'!$T$2:$T986=B26)*(ROW('Списки блоков'!$T$2:$T986)&lt;&gt;ROW('Списки блоков'!$T$3)),0),0)),"","Zachёt,")
&amp;IF(ISERROR(MATCH(1,INDEX(('Списки блоков'!$U$2:$U986=B26)*(ROW('Списки блоков'!$U$2:$U986)&lt;&gt;ROW('Списки блоков'!$U$3)),0),0)),"","IT,")
&amp;IF(ISERROR(MATCH(1,INDEX(('Списки блоков'!$V$2:$V986=B26)*(ROW('Списки блоков'!$V$2:$V986)&lt;&gt;ROW('Списки блоков'!$V$3)),0),0)),"","ДК,")
</f>
        <v>Дизайн,Профорги,Склад,Техники,ДК,</v>
      </c>
      <c r="F26" s="14">
        <v>8.9588214539E10</v>
      </c>
      <c r="G26" s="12" t="s">
        <v>137</v>
      </c>
      <c r="H26" s="10" t="s">
        <v>138</v>
      </c>
      <c r="I26" s="10" t="s">
        <v>139</v>
      </c>
      <c r="J26" s="6" t="s">
        <v>22</v>
      </c>
    </row>
    <row r="27">
      <c r="A27" s="6" t="s">
        <v>140</v>
      </c>
      <c r="B27" s="2" t="str">
        <f t="shared" si="3"/>
        <v>Гудов Дмитрий</v>
      </c>
      <c r="C27" s="9">
        <v>321.0</v>
      </c>
      <c r="D27" s="10" t="s">
        <v>141</v>
      </c>
      <c r="E27" s="2" t="str">
        <f t="array" ref="E27">IF(ISERROR(MATCH(1,INDEX(('Списки блоков'!$B$2:$B986=B27)*(ROW('Списки блоков'!$B$2:$B986)&lt;&gt;ROW('Списки блоков'!$B$3)),0),0)),"","БДНС,")
&amp;IF(ISERROR(MATCH(1,INDEX(('Списки блоков'!$C$2:$C986=B27)*(ROW('Списки блоков'!$C$2:$C986)&lt;&gt;ROW('Списки блоков'!$C$3)),0),0)),"","Видеолаба,")
&amp;IF(ISERROR(MATCH(1,INDEX(('Списки блоков'!$D$2:$D986=B27)*(ROW('Списки блоков'!$D$2:$D986)&lt;&gt;ROW('Списки блоков'!$D$3)),0),0)),"","Декораторы,")
&amp;IF(ISERROR(MATCH(1,INDEX(('Списки блоков'!$E$2:$E986=B27)*(ROW('Списки блоков'!$E$2:$E986)&lt;&gt;ROW('Списки блоков'!$E$3)),0),0)),"","Дизайн,")
&amp;IF(ISERROR(MATCH(1,INDEX(('Списки блоков'!$F$2:$F986=B27)*(ROW('Списки блоков'!$F$2:$F986)&lt;&gt;ROW('Списки блоков'!$F$3)),0),0)),"","Досуг,")
&amp;IF(ISERROR(MATCH(1,INDEX(('Списки блоков'!$G$2:$G986=B27)*(ROW('Списки блоков'!$G$2:$G986)&lt;&gt;ROW('Списки блоков'!$G$3)),0),0)),"","Закупки,")
&amp;IF(ISERROR(MATCH(1,INDEX(('Списки блоков'!$H$2:$H986=B27)*(ROW('Списки блоков'!$H$2:$H986)&lt;&gt;ROW('Списки блоков'!$H$3)),0),0)),"","ИнфоБлок,")
&amp;IF(ISERROR(MATCH(1,INDEX(('Списки блоков'!$I$2:$I986=B27)*(ROW('Списки блоков'!$I$2:$I986)&lt;&gt;ROW('Списки блоков'!$I$3)),0),0)),"","КГ,")
&amp;IF(ISERROR(MATCH(1,INDEX(('Списки блоков'!$J$2:$J986=B27)*(ROW('Списки блоков'!$J$2:$J986)&lt;&gt;ROW('Списки блоков'!$J$3)),0),0)),"","МП,")
&amp;IF(ISERROR(MATCH(1,INDEX(('Списки блоков'!$K$2:$K986=B27)*(ROW('Списки блоков'!$K$2:$K986)&lt;&gt;ROW('Списки блоков'!$K$3)),0),0)),"","Профорги,")
&amp;IF(ISERROR(MATCH(1,INDEX(('Списки блоков'!$L$2:$L986=B27)*(ROW('Списки блоков'!$L$2:$L986)&lt;&gt;ROW('Списки блоков'!$L$3)),0),0)),"","Спонсоры,")
&amp;IF(ISERROR(MATCH(1,INDEX(('Списки блоков'!$M$2:$M986=B27)*(ROW('Списки блоков'!$M$2:$M986)&lt;&gt;ROW('Списки блоков'!$M$3)),0),0)),"","Склад,")
&amp;IF(ISERROR(MATCH(1,INDEX(('Списки блоков'!$N$2:$N986=B27)*(ROW('Списки блоков'!$N$2:$N986)&lt;&gt;ROW('Списки блоков'!$N$3)),0),0)),"","Сценаристы,")
&amp;IF(ISERROR(MATCH(1,INDEX(('Списки блоков'!$O$2:$O986=B27)*(ROW('Списки блоков'!$O$2:$O986)&lt;&gt;ROW('Списки блоков'!$O$3)),0),0)),"","Техники,")
&amp;IF(ISERROR(MATCH(1,INDEX(('Списки блоков'!$P$2:$P986=B27)*(ROW('Списки блоков'!$P$2:$P986)&lt;&gt;ROW('Списки блоков'!$P$3)),0),0)),"","УРС,")
&amp;IF(ISERROR(MATCH(1,INDEX(('Списки блоков'!$Q$2:$Q986=B27)*(ROW('Списки блоков'!$Q$2:$Q986)&lt;&gt;ROW('Списки блоков'!$Q$3)),0),0)),"","Фото,")
&amp;IF(ISERROR(MATCH(1,INDEX((#REF!=B27)*(ROW(#REF!)&lt;&gt;ROW(#REF!)),0),0)),"","ЭкоБлок,")
&amp;IF(ISERROR(MATCH(1,INDEX(('Списки блоков'!$R$2:$R986=B27)*(ROW('Списки блоков'!$R$2:$R986)&lt;&gt;ROW('Списки блоков'!$R$3)),0),0)),"","HR,")
&amp;IF(ISERROR(MATCH(1,INDEX(('Списки блоков'!$S$2:$S986=B27)*(ROW('Списки блоков'!$S$2:$S986)&lt;&gt;ROW('Списки блоков'!$S$3)),0),0)),"","Instagram,")
&amp;IF(ISERROR(MATCH(1,INDEX(('Списки блоков'!$T$2:$T986=B27)*(ROW('Списки блоков'!$T$2:$T986)&lt;&gt;ROW('Списки блоков'!$T$3)),0),0)),"","Zachёt,")
&amp;IF(ISERROR(MATCH(1,INDEX(('Списки блоков'!$U$2:$U986=B27)*(ROW('Списки блоков'!$U$2:$U986)&lt;&gt;ROW('Списки блоков'!$U$3)),0),0)),"","IT,")
&amp;IF(ISERROR(MATCH(1,INDEX(('Списки блоков'!$V$2:$V986=B27)*(ROW('Списки блоков'!$V$2:$V986)&lt;&gt;ROW('Списки блоков'!$V$3)),0),0)),"","ДК,")
</f>
        <v>БДНС,Декораторы,IT,</v>
      </c>
      <c r="F27" s="14">
        <v>8.987073846E10</v>
      </c>
      <c r="G27" s="10" t="s">
        <v>142</v>
      </c>
      <c r="H27" s="10" t="s">
        <v>143</v>
      </c>
      <c r="I27" s="10" t="s">
        <v>144</v>
      </c>
      <c r="J27" s="6" t="s">
        <v>22</v>
      </c>
    </row>
    <row r="28">
      <c r="A28" s="6" t="s">
        <v>145</v>
      </c>
      <c r="B28" s="2" t="str">
        <f t="shared" si="3"/>
        <v>Гуртовая Зоя</v>
      </c>
      <c r="C28" s="9">
        <v>215.0</v>
      </c>
      <c r="D28" s="10" t="s">
        <v>50</v>
      </c>
      <c r="E28" s="2" t="str">
        <f t="array" ref="E28">IF(ISERROR(MATCH(1,INDEX(('Списки блоков'!$B$2:$B986=B28)*(ROW('Списки блоков'!$B$2:$B986)&lt;&gt;ROW('Списки блоков'!$B$3)),0),0)),"","БДНС,")
&amp;IF(ISERROR(MATCH(1,INDEX(('Списки блоков'!$C$2:$C986=B28)*(ROW('Списки блоков'!$C$2:$C986)&lt;&gt;ROW('Списки блоков'!$C$3)),0),0)),"","Видеолаба,")
&amp;IF(ISERROR(MATCH(1,INDEX(('Списки блоков'!$D$2:$D986=B28)*(ROW('Списки блоков'!$D$2:$D986)&lt;&gt;ROW('Списки блоков'!$D$3)),0),0)),"","Декораторы,")
&amp;IF(ISERROR(MATCH(1,INDEX(('Списки блоков'!$E$2:$E986=B28)*(ROW('Списки блоков'!$E$2:$E986)&lt;&gt;ROW('Списки блоков'!$E$3)),0),0)),"","Дизайн,")
&amp;IF(ISERROR(MATCH(1,INDEX(('Списки блоков'!$F$2:$F986=B28)*(ROW('Списки блоков'!$F$2:$F986)&lt;&gt;ROW('Списки блоков'!$F$3)),0),0)),"","Досуг,")
&amp;IF(ISERROR(MATCH(1,INDEX(('Списки блоков'!$G$2:$G986=B28)*(ROW('Списки блоков'!$G$2:$G986)&lt;&gt;ROW('Списки блоков'!$G$3)),0),0)),"","Закупки,")
&amp;IF(ISERROR(MATCH(1,INDEX(('Списки блоков'!$H$2:$H986=B28)*(ROW('Списки блоков'!$H$2:$H986)&lt;&gt;ROW('Списки блоков'!$H$3)),0),0)),"","ИнфоБлок,")
&amp;IF(ISERROR(MATCH(1,INDEX(('Списки блоков'!$I$2:$I986=B28)*(ROW('Списки блоков'!$I$2:$I986)&lt;&gt;ROW('Списки блоков'!$I$3)),0),0)),"","КГ,")
&amp;IF(ISERROR(MATCH(1,INDEX(('Списки блоков'!$J$2:$J986=B28)*(ROW('Списки блоков'!$J$2:$J986)&lt;&gt;ROW('Списки блоков'!$J$3)),0),0)),"","МП,")
&amp;IF(ISERROR(MATCH(1,INDEX(('Списки блоков'!$K$2:$K986=B28)*(ROW('Списки блоков'!$K$2:$K986)&lt;&gt;ROW('Списки блоков'!$K$3)),0),0)),"","Профорги,")
&amp;IF(ISERROR(MATCH(1,INDEX(('Списки блоков'!$L$2:$L986=B28)*(ROW('Списки блоков'!$L$2:$L986)&lt;&gt;ROW('Списки блоков'!$L$3)),0),0)),"","Спонсоры,")
&amp;IF(ISERROR(MATCH(1,INDEX(('Списки блоков'!$M$2:$M986=B28)*(ROW('Списки блоков'!$M$2:$M986)&lt;&gt;ROW('Списки блоков'!$M$3)),0),0)),"","Склад,")
&amp;IF(ISERROR(MATCH(1,INDEX(('Списки блоков'!$N$2:$N986=B28)*(ROW('Списки блоков'!$N$2:$N986)&lt;&gt;ROW('Списки блоков'!$N$3)),0),0)),"","Сценаристы,")
&amp;IF(ISERROR(MATCH(1,INDEX(('Списки блоков'!$O$2:$O986=B28)*(ROW('Списки блоков'!$O$2:$O986)&lt;&gt;ROW('Списки блоков'!$O$3)),0),0)),"","Техники,")
&amp;IF(ISERROR(MATCH(1,INDEX(('Списки блоков'!$P$2:$P986=B28)*(ROW('Списки блоков'!$P$2:$P986)&lt;&gt;ROW('Списки блоков'!$P$3)),0),0)),"","УРС,")
&amp;IF(ISERROR(MATCH(1,INDEX(('Списки блоков'!$Q$2:$Q986=B28)*(ROW('Списки блоков'!$Q$2:$Q986)&lt;&gt;ROW('Списки блоков'!$Q$3)),0),0)),"","Фото,")
&amp;IF(ISERROR(MATCH(1,INDEX((#REF!=B28)*(ROW(#REF!)&lt;&gt;ROW(#REF!)),0),0)),"","ЭкоБлок,")
&amp;IF(ISERROR(MATCH(1,INDEX(('Списки блоков'!$R$2:$R986=B28)*(ROW('Списки блоков'!$R$2:$R986)&lt;&gt;ROW('Списки блоков'!$R$3)),0),0)),"","HR,")
&amp;IF(ISERROR(MATCH(1,INDEX(('Списки блоков'!$S$2:$S986=B28)*(ROW('Списки блоков'!$S$2:$S986)&lt;&gt;ROW('Списки блоков'!$S$3)),0),0)),"","Instagram,")
&amp;IF(ISERROR(MATCH(1,INDEX(('Списки блоков'!$T$2:$T986=B28)*(ROW('Списки блоков'!$T$2:$T986)&lt;&gt;ROW('Списки блоков'!$T$3)),0),0)),"","Zachёt,")
&amp;IF(ISERROR(MATCH(1,INDEX(('Списки блоков'!$U$2:$U986=B28)*(ROW('Списки блоков'!$U$2:$U986)&lt;&gt;ROW('Списки блоков'!$U$3)),0),0)),"","IT,")
&amp;IF(ISERROR(MATCH(1,INDEX(('Списки блоков'!$V$2:$V986=B28)*(ROW('Списки блоков'!$V$2:$V986)&lt;&gt;ROW('Списки блоков'!$V$3)),0),0)),"","ДК,")
</f>
        <v>БДНС,Дизайн,Спонсоры,ДК,</v>
      </c>
      <c r="F28" s="11">
        <v>8.9206665032E10</v>
      </c>
      <c r="G28" s="12" t="s">
        <v>146</v>
      </c>
      <c r="H28" s="10" t="s">
        <v>147</v>
      </c>
      <c r="I28" s="10" t="s">
        <v>148</v>
      </c>
      <c r="J28" s="6" t="s">
        <v>22</v>
      </c>
    </row>
    <row r="29">
      <c r="A29" s="7" t="s">
        <v>149</v>
      </c>
      <c r="B29" s="2" t="str">
        <f t="shared" si="3"/>
        <v>Денисов Егор</v>
      </c>
      <c r="C29" s="3">
        <v>417.0</v>
      </c>
      <c r="D29" s="2" t="s">
        <v>150</v>
      </c>
      <c r="E29" s="2" t="str">
        <f t="array" ref="E29">IF(ISERROR(MATCH(1,INDEX(('Списки блоков'!$B$2:$B986=B29)*(ROW('Списки блоков'!$B$2:$B986)&lt;&gt;ROW('Списки блоков'!$B$3)),0),0)),"","БДНС,")
&amp;IF(ISERROR(MATCH(1,INDEX(('Списки блоков'!$C$2:$C986=B29)*(ROW('Списки блоков'!$C$2:$C986)&lt;&gt;ROW('Списки блоков'!$C$3)),0),0)),"","Видеолаба,")
&amp;IF(ISERROR(MATCH(1,INDEX(('Списки блоков'!$D$2:$D986=B29)*(ROW('Списки блоков'!$D$2:$D986)&lt;&gt;ROW('Списки блоков'!$D$3)),0),0)),"","Декораторы,")
&amp;IF(ISERROR(MATCH(1,INDEX(('Списки блоков'!$E$2:$E986=B29)*(ROW('Списки блоков'!$E$2:$E986)&lt;&gt;ROW('Списки блоков'!$E$3)),0),0)),"","Дизайн,")
&amp;IF(ISERROR(MATCH(1,INDEX(('Списки блоков'!$F$2:$F986=B29)*(ROW('Списки блоков'!$F$2:$F986)&lt;&gt;ROW('Списки блоков'!$F$3)),0),0)),"","Досуг,")
&amp;IF(ISERROR(MATCH(1,INDEX(('Списки блоков'!$G$2:$G986=B29)*(ROW('Списки блоков'!$G$2:$G986)&lt;&gt;ROW('Списки блоков'!$G$3)),0),0)),"","Закупки,")
&amp;IF(ISERROR(MATCH(1,INDEX(('Списки блоков'!$H$2:$H986=B29)*(ROW('Списки блоков'!$H$2:$H986)&lt;&gt;ROW('Списки блоков'!$H$3)),0),0)),"","ИнфоБлок,")
&amp;IF(ISERROR(MATCH(1,INDEX(('Списки блоков'!$I$2:$I986=B29)*(ROW('Списки блоков'!$I$2:$I986)&lt;&gt;ROW('Списки блоков'!$I$3)),0),0)),"","КГ,")
&amp;IF(ISERROR(MATCH(1,INDEX(('Списки блоков'!$J$2:$J986=B29)*(ROW('Списки блоков'!$J$2:$J986)&lt;&gt;ROW('Списки блоков'!$J$3)),0),0)),"","МП,")
&amp;IF(ISERROR(MATCH(1,INDEX(('Списки блоков'!$K$2:$K986=B29)*(ROW('Списки блоков'!$K$2:$K986)&lt;&gt;ROW('Списки блоков'!$K$3)),0),0)),"","Профорги,")
&amp;IF(ISERROR(MATCH(1,INDEX(('Списки блоков'!$L$2:$L986=B29)*(ROW('Списки блоков'!$L$2:$L986)&lt;&gt;ROW('Списки блоков'!$L$3)),0),0)),"","Спонсоры,")
&amp;IF(ISERROR(MATCH(1,INDEX(('Списки блоков'!$M$2:$M986=B29)*(ROW('Списки блоков'!$M$2:$M986)&lt;&gt;ROW('Списки блоков'!$M$3)),0),0)),"","Склад,")
&amp;IF(ISERROR(MATCH(1,INDEX(('Списки блоков'!$N$2:$N986=B29)*(ROW('Списки блоков'!$N$2:$N986)&lt;&gt;ROW('Списки блоков'!$N$3)),0),0)),"","Сценаристы,")
&amp;IF(ISERROR(MATCH(1,INDEX(('Списки блоков'!$O$2:$O986=B29)*(ROW('Списки блоков'!$O$2:$O986)&lt;&gt;ROW('Списки блоков'!$O$3)),0),0)),"","Техники,")
&amp;IF(ISERROR(MATCH(1,INDEX(('Списки блоков'!$P$2:$P986=B29)*(ROW('Списки блоков'!$P$2:$P986)&lt;&gt;ROW('Списки блоков'!$P$3)),0),0)),"","УРС,")
&amp;IF(ISERROR(MATCH(1,INDEX(('Списки блоков'!$Q$2:$Q986=B29)*(ROW('Списки блоков'!$Q$2:$Q986)&lt;&gt;ROW('Списки блоков'!$Q$3)),0),0)),"","Фото,")
&amp;IF(ISERROR(MATCH(1,INDEX((#REF!=B29)*(ROW(#REF!)&lt;&gt;ROW(#REF!)),0),0)),"","ЭкоБлок,")
&amp;IF(ISERROR(MATCH(1,INDEX(('Списки блоков'!$R$2:$R986=B29)*(ROW('Списки блоков'!$R$2:$R986)&lt;&gt;ROW('Списки блоков'!$R$3)),0),0)),"","HR,")
&amp;IF(ISERROR(MATCH(1,INDEX(('Списки блоков'!$S$2:$S986=B29)*(ROW('Списки блоков'!$S$2:$S986)&lt;&gt;ROW('Списки блоков'!$S$3)),0),0)),"","Instagram,")
&amp;IF(ISERROR(MATCH(1,INDEX(('Списки блоков'!$T$2:$T986=B29)*(ROW('Списки блоков'!$T$2:$T986)&lt;&gt;ROW('Списки блоков'!$T$3)),0),0)),"","Zachёt,")
&amp;IF(ISERROR(MATCH(1,INDEX(('Списки блоков'!$U$2:$U986=B29)*(ROW('Списки блоков'!$U$2:$U986)&lt;&gt;ROW('Списки блоков'!$U$3)),0),0)),"","IT,")
&amp;IF(ISERROR(MATCH(1,INDEX(('Списки блоков'!$V$2:$V986=B29)*(ROW('Списки блоков'!$V$2:$V986)&lt;&gt;ROW('Списки блоков'!$V$3)),0),0)),"","ДК,")
</f>
        <v>БДНС,УРС,</v>
      </c>
      <c r="F29" s="8">
        <v>8.9139782656E10</v>
      </c>
      <c r="G29" s="5" t="s">
        <v>151</v>
      </c>
      <c r="H29" s="2" t="s">
        <v>152</v>
      </c>
      <c r="I29" s="2" t="s">
        <v>153</v>
      </c>
      <c r="J29" s="7" t="s">
        <v>22</v>
      </c>
    </row>
    <row r="30">
      <c r="A30" s="10" t="s">
        <v>154</v>
      </c>
      <c r="B30" s="2" t="str">
        <f t="shared" si="3"/>
        <v>Джиоев Владимир</v>
      </c>
      <c r="C30" s="9">
        <v>118.0</v>
      </c>
      <c r="D30" s="6" t="s">
        <v>155</v>
      </c>
      <c r="E30" s="2" t="str">
        <f t="array" ref="E30">IF(ISERROR(MATCH(1,INDEX(('Списки блоков'!$B$2:$B986=B30)*(ROW('Списки блоков'!$B$2:$B986)&lt;&gt;ROW('Списки блоков'!$B$3)),0),0)),"","БДНС,")
&amp;IF(ISERROR(MATCH(1,INDEX(('Списки блоков'!$C$2:$C986=B30)*(ROW('Списки блоков'!$C$2:$C986)&lt;&gt;ROW('Списки блоков'!$C$3)),0),0)),"","Видеолаба,")
&amp;IF(ISERROR(MATCH(1,INDEX(('Списки блоков'!$D$2:$D986=B30)*(ROW('Списки блоков'!$D$2:$D986)&lt;&gt;ROW('Списки блоков'!$D$3)),0),0)),"","Декораторы,")
&amp;IF(ISERROR(MATCH(1,INDEX(('Списки блоков'!$E$2:$E986=B30)*(ROW('Списки блоков'!$E$2:$E986)&lt;&gt;ROW('Списки блоков'!$E$3)),0),0)),"","Дизайн,")
&amp;IF(ISERROR(MATCH(1,INDEX(('Списки блоков'!$F$2:$F986=B30)*(ROW('Списки блоков'!$F$2:$F986)&lt;&gt;ROW('Списки блоков'!$F$3)),0),0)),"","Досуг,")
&amp;IF(ISERROR(MATCH(1,INDEX(('Списки блоков'!$G$2:$G986=B30)*(ROW('Списки блоков'!$G$2:$G986)&lt;&gt;ROW('Списки блоков'!$G$3)),0),0)),"","Закупки,")
&amp;IF(ISERROR(MATCH(1,INDEX(('Списки блоков'!$H$2:$H986=B30)*(ROW('Списки блоков'!$H$2:$H986)&lt;&gt;ROW('Списки блоков'!$H$3)),0),0)),"","ИнфоБлок,")
&amp;IF(ISERROR(MATCH(1,INDEX(('Списки блоков'!$I$2:$I986=B30)*(ROW('Списки блоков'!$I$2:$I986)&lt;&gt;ROW('Списки блоков'!$I$3)),0),0)),"","КГ,")
&amp;IF(ISERROR(MATCH(1,INDEX(('Списки блоков'!$J$2:$J986=B30)*(ROW('Списки блоков'!$J$2:$J986)&lt;&gt;ROW('Списки блоков'!$J$3)),0),0)),"","МП,")
&amp;IF(ISERROR(MATCH(1,INDEX(('Списки блоков'!$K$2:$K986=B30)*(ROW('Списки блоков'!$K$2:$K986)&lt;&gt;ROW('Списки блоков'!$K$3)),0),0)),"","Профорги,")
&amp;IF(ISERROR(MATCH(1,INDEX(('Списки блоков'!$L$2:$L986=B30)*(ROW('Списки блоков'!$L$2:$L986)&lt;&gt;ROW('Списки блоков'!$L$3)),0),0)),"","Спонсоры,")
&amp;IF(ISERROR(MATCH(1,INDEX(('Списки блоков'!$M$2:$M986=B30)*(ROW('Списки блоков'!$M$2:$M986)&lt;&gt;ROW('Списки блоков'!$M$3)),0),0)),"","Склад,")
&amp;IF(ISERROR(MATCH(1,INDEX(('Списки блоков'!$N$2:$N986=B30)*(ROW('Списки блоков'!$N$2:$N986)&lt;&gt;ROW('Списки блоков'!$N$3)),0),0)),"","Сценаристы,")
&amp;IF(ISERROR(MATCH(1,INDEX(('Списки блоков'!$O$2:$O986=B30)*(ROW('Списки блоков'!$O$2:$O986)&lt;&gt;ROW('Списки блоков'!$O$3)),0),0)),"","Техники,")
&amp;IF(ISERROR(MATCH(1,INDEX(('Списки блоков'!$P$2:$P986=B30)*(ROW('Списки блоков'!$P$2:$P986)&lt;&gt;ROW('Списки блоков'!$P$3)),0),0)),"","УРС,")
&amp;IF(ISERROR(MATCH(1,INDEX(('Списки блоков'!$Q$2:$Q986=B30)*(ROW('Списки блоков'!$Q$2:$Q986)&lt;&gt;ROW('Списки блоков'!$Q$3)),0),0)),"","Фото,")
&amp;IF(ISERROR(MATCH(1,INDEX((#REF!=B30)*(ROW(#REF!)&lt;&gt;ROW(#REF!)),0),0)),"","ЭкоБлок,")
&amp;IF(ISERROR(MATCH(1,INDEX(('Списки блоков'!$R$2:$R986=B30)*(ROW('Списки блоков'!$R$2:$R986)&lt;&gt;ROW('Списки блоков'!$R$3)),0),0)),"","HR,")
&amp;IF(ISERROR(MATCH(1,INDEX(('Списки блоков'!$S$2:$S986=B30)*(ROW('Списки блоков'!$S$2:$S986)&lt;&gt;ROW('Списки блоков'!$S$3)),0),0)),"","Instagram,")
&amp;IF(ISERROR(MATCH(1,INDEX(('Списки блоков'!$T$2:$T986=B30)*(ROW('Списки блоков'!$T$2:$T986)&lt;&gt;ROW('Списки блоков'!$T$3)),0),0)),"","Zachёt,")
&amp;IF(ISERROR(MATCH(1,INDEX(('Списки блоков'!$U$2:$U986=B30)*(ROW('Списки блоков'!$U$2:$U986)&lt;&gt;ROW('Списки блоков'!$U$3)),0),0)),"","IT,")
&amp;IF(ISERROR(MATCH(1,INDEX(('Списки блоков'!$V$2:$V986=B30)*(ROW('Списки блоков'!$V$2:$V986)&lt;&gt;ROW('Списки блоков'!$V$3)),0),0)),"","ДК,")
</f>
        <v>Видеолаба,Спонсоры,ДК,</v>
      </c>
      <c r="F30" s="11">
        <v>8.916582312E10</v>
      </c>
      <c r="G30" s="12" t="s">
        <v>156</v>
      </c>
      <c r="H30" s="10" t="s">
        <v>157</v>
      </c>
      <c r="I30" s="10" t="s">
        <v>158</v>
      </c>
      <c r="J30" s="6" t="s">
        <v>22</v>
      </c>
    </row>
    <row r="31">
      <c r="A31" s="10" t="s">
        <v>159</v>
      </c>
      <c r="B31" s="2" t="str">
        <f t="shared" si="3"/>
        <v>Диденко София</v>
      </c>
      <c r="C31" s="9">
        <v>530.0</v>
      </c>
      <c r="D31" s="10" t="s">
        <v>160</v>
      </c>
      <c r="E31" s="2" t="str">
        <f t="array" ref="E31">IF(ISERROR(MATCH(1,INDEX(('Списки блоков'!$B$2:$B986=B31)*(ROW('Списки блоков'!$B$2:$B986)&lt;&gt;ROW('Списки блоков'!$B$3)),0),0)),"","БДНС,")
&amp;IF(ISERROR(MATCH(1,INDEX(('Списки блоков'!$C$2:$C986=B31)*(ROW('Списки блоков'!$C$2:$C986)&lt;&gt;ROW('Списки блоков'!$C$3)),0),0)),"","Видеолаба,")
&amp;IF(ISERROR(MATCH(1,INDEX(('Списки блоков'!$D$2:$D986=B31)*(ROW('Списки блоков'!$D$2:$D986)&lt;&gt;ROW('Списки блоков'!$D$3)),0),0)),"","Декораторы,")
&amp;IF(ISERROR(MATCH(1,INDEX(('Списки блоков'!$E$2:$E986=B31)*(ROW('Списки блоков'!$E$2:$E986)&lt;&gt;ROW('Списки блоков'!$E$3)),0),0)),"","Дизайн,")
&amp;IF(ISERROR(MATCH(1,INDEX(('Списки блоков'!$F$2:$F986=B31)*(ROW('Списки блоков'!$F$2:$F986)&lt;&gt;ROW('Списки блоков'!$F$3)),0),0)),"","Досуг,")
&amp;IF(ISERROR(MATCH(1,INDEX(('Списки блоков'!$G$2:$G986=B31)*(ROW('Списки блоков'!$G$2:$G986)&lt;&gt;ROW('Списки блоков'!$G$3)),0),0)),"","Закупки,")
&amp;IF(ISERROR(MATCH(1,INDEX(('Списки блоков'!$H$2:$H986=B31)*(ROW('Списки блоков'!$H$2:$H986)&lt;&gt;ROW('Списки блоков'!$H$3)),0),0)),"","ИнфоБлок,")
&amp;IF(ISERROR(MATCH(1,INDEX(('Списки блоков'!$I$2:$I986=B31)*(ROW('Списки блоков'!$I$2:$I986)&lt;&gt;ROW('Списки блоков'!$I$3)),0),0)),"","КГ,")
&amp;IF(ISERROR(MATCH(1,INDEX(('Списки блоков'!$J$2:$J986=B31)*(ROW('Списки блоков'!$J$2:$J986)&lt;&gt;ROW('Списки блоков'!$J$3)),0),0)),"","МП,")
&amp;IF(ISERROR(MATCH(1,INDEX(('Списки блоков'!$K$2:$K986=B31)*(ROW('Списки блоков'!$K$2:$K986)&lt;&gt;ROW('Списки блоков'!$K$3)),0),0)),"","Профорги,")
&amp;IF(ISERROR(MATCH(1,INDEX(('Списки блоков'!$L$2:$L986=B31)*(ROW('Списки блоков'!$L$2:$L986)&lt;&gt;ROW('Списки блоков'!$L$3)),0),0)),"","Спонсоры,")
&amp;IF(ISERROR(MATCH(1,INDEX(('Списки блоков'!$M$2:$M986=B31)*(ROW('Списки блоков'!$M$2:$M986)&lt;&gt;ROW('Списки блоков'!$M$3)),0),0)),"","Склад,")
&amp;IF(ISERROR(MATCH(1,INDEX(('Списки блоков'!$N$2:$N986=B31)*(ROW('Списки блоков'!$N$2:$N986)&lt;&gt;ROW('Списки блоков'!$N$3)),0),0)),"","Сценаристы,")
&amp;IF(ISERROR(MATCH(1,INDEX(('Списки блоков'!$O$2:$O986=B31)*(ROW('Списки блоков'!$O$2:$O986)&lt;&gt;ROW('Списки блоков'!$O$3)),0),0)),"","Техники,")
&amp;IF(ISERROR(MATCH(1,INDEX(('Списки блоков'!$P$2:$P986=B31)*(ROW('Списки блоков'!$P$2:$P986)&lt;&gt;ROW('Списки блоков'!$P$3)),0),0)),"","УРС,")
&amp;IF(ISERROR(MATCH(1,INDEX(('Списки блоков'!$Q$2:$Q986=B31)*(ROW('Списки блоков'!$Q$2:$Q986)&lt;&gt;ROW('Списки блоков'!$Q$3)),0),0)),"","Фото,")
&amp;IF(ISERROR(MATCH(1,INDEX((#REF!=B31)*(ROW(#REF!)&lt;&gt;ROW(#REF!)),0),0)),"","ЭкоБлок,")
&amp;IF(ISERROR(MATCH(1,INDEX(('Списки блоков'!$R$2:$R986=B31)*(ROW('Списки блоков'!$R$2:$R986)&lt;&gt;ROW('Списки блоков'!$R$3)),0),0)),"","HR,")
&amp;IF(ISERROR(MATCH(1,INDEX(('Списки блоков'!$S$2:$S986=B31)*(ROW('Списки блоков'!$S$2:$S986)&lt;&gt;ROW('Списки блоков'!$S$3)),0),0)),"","Instagram,")
&amp;IF(ISERROR(MATCH(1,INDEX(('Списки блоков'!$T$2:$T986=B31)*(ROW('Списки блоков'!$T$2:$T986)&lt;&gt;ROW('Списки блоков'!$T$3)),0),0)),"","Zachёt,")
&amp;IF(ISERROR(MATCH(1,INDEX(('Списки блоков'!$U$2:$U986=B31)*(ROW('Списки блоков'!$U$2:$U986)&lt;&gt;ROW('Списки блоков'!$U$3)),0),0)),"","IT,")
&amp;IF(ISERROR(MATCH(1,INDEX(('Списки блоков'!$V$2:$V986=B31)*(ROW('Списки блоков'!$V$2:$V986)&lt;&gt;ROW('Списки блоков'!$V$3)),0),0)),"","ДК,")
</f>
        <v>HR,</v>
      </c>
      <c r="F31" s="11">
        <v>8.915279664E10</v>
      </c>
      <c r="G31" s="10" t="s">
        <v>161</v>
      </c>
      <c r="H31" s="10" t="s">
        <v>162</v>
      </c>
      <c r="I31" s="10" t="s">
        <v>163</v>
      </c>
      <c r="J31" s="6" t="s">
        <v>22</v>
      </c>
    </row>
    <row r="32">
      <c r="A32" s="6" t="s">
        <v>164</v>
      </c>
      <c r="B32" s="2" t="str">
        <f t="shared" si="3"/>
        <v>Древаль Ксения</v>
      </c>
      <c r="C32" s="9">
        <v>218.0</v>
      </c>
      <c r="D32" s="10" t="s">
        <v>165</v>
      </c>
      <c r="E32" s="2" t="str">
        <f t="array" ref="E32">IF(ISERROR(MATCH(1,INDEX(('Списки блоков'!$B$2:$B986=B32)*(ROW('Списки блоков'!$B$2:$B986)&lt;&gt;ROW('Списки блоков'!$B$3)),0),0)),"","БДНС,")
&amp;IF(ISERROR(MATCH(1,INDEX(('Списки блоков'!$C$2:$C986=B32)*(ROW('Списки блоков'!$C$2:$C986)&lt;&gt;ROW('Списки блоков'!$C$3)),0),0)),"","Видеолаба,")
&amp;IF(ISERROR(MATCH(1,INDEX(('Списки блоков'!$D$2:$D986=B32)*(ROW('Списки блоков'!$D$2:$D986)&lt;&gt;ROW('Списки блоков'!$D$3)),0),0)),"","Декораторы,")
&amp;IF(ISERROR(MATCH(1,INDEX(('Списки блоков'!$E$2:$E986=B32)*(ROW('Списки блоков'!$E$2:$E986)&lt;&gt;ROW('Списки блоков'!$E$3)),0),0)),"","Дизайн,")
&amp;IF(ISERROR(MATCH(1,INDEX(('Списки блоков'!$F$2:$F986=B32)*(ROW('Списки блоков'!$F$2:$F986)&lt;&gt;ROW('Списки блоков'!$F$3)),0),0)),"","Досуг,")
&amp;IF(ISERROR(MATCH(1,INDEX(('Списки блоков'!$G$2:$G986=B32)*(ROW('Списки блоков'!$G$2:$G986)&lt;&gt;ROW('Списки блоков'!$G$3)),0),0)),"","Закупки,")
&amp;IF(ISERROR(MATCH(1,INDEX(('Списки блоков'!$H$2:$H986=B32)*(ROW('Списки блоков'!$H$2:$H986)&lt;&gt;ROW('Списки блоков'!$H$3)),0),0)),"","ИнфоБлок,")
&amp;IF(ISERROR(MATCH(1,INDEX(('Списки блоков'!$I$2:$I986=B32)*(ROW('Списки блоков'!$I$2:$I986)&lt;&gt;ROW('Списки блоков'!$I$3)),0),0)),"","КГ,")
&amp;IF(ISERROR(MATCH(1,INDEX(('Списки блоков'!$J$2:$J986=B32)*(ROW('Списки блоков'!$J$2:$J986)&lt;&gt;ROW('Списки блоков'!$J$3)),0),0)),"","МП,")
&amp;IF(ISERROR(MATCH(1,INDEX(('Списки блоков'!$K$2:$K986=B32)*(ROW('Списки блоков'!$K$2:$K986)&lt;&gt;ROW('Списки блоков'!$K$3)),0),0)),"","Профорги,")
&amp;IF(ISERROR(MATCH(1,INDEX(('Списки блоков'!$L$2:$L986=B32)*(ROW('Списки блоков'!$L$2:$L986)&lt;&gt;ROW('Списки блоков'!$L$3)),0),0)),"","Спонсоры,")
&amp;IF(ISERROR(MATCH(1,INDEX(('Списки блоков'!$M$2:$M986=B32)*(ROW('Списки блоков'!$M$2:$M986)&lt;&gt;ROW('Списки блоков'!$M$3)),0),0)),"","Склад,")
&amp;IF(ISERROR(MATCH(1,INDEX(('Списки блоков'!$N$2:$N986=B32)*(ROW('Списки блоков'!$N$2:$N986)&lt;&gt;ROW('Списки блоков'!$N$3)),0),0)),"","Сценаристы,")
&amp;IF(ISERROR(MATCH(1,INDEX(('Списки блоков'!$O$2:$O986=B32)*(ROW('Списки блоков'!$O$2:$O986)&lt;&gt;ROW('Списки блоков'!$O$3)),0),0)),"","Техники,")
&amp;IF(ISERROR(MATCH(1,INDEX(('Списки блоков'!$P$2:$P986=B32)*(ROW('Списки блоков'!$P$2:$P986)&lt;&gt;ROW('Списки блоков'!$P$3)),0),0)),"","УРС,")
&amp;IF(ISERROR(MATCH(1,INDEX(('Списки блоков'!$Q$2:$Q986=B32)*(ROW('Списки блоков'!$Q$2:$Q986)&lt;&gt;ROW('Списки блоков'!$Q$3)),0),0)),"","Фото,")
&amp;IF(ISERROR(MATCH(1,INDEX((#REF!=B32)*(ROW(#REF!)&lt;&gt;ROW(#REF!)),0),0)),"","ЭкоБлок,")
&amp;IF(ISERROR(MATCH(1,INDEX(('Списки блоков'!$R$2:$R986=B32)*(ROW('Списки блоков'!$R$2:$R986)&lt;&gt;ROW('Списки блоков'!$R$3)),0),0)),"","HR,")
&amp;IF(ISERROR(MATCH(1,INDEX(('Списки блоков'!$S$2:$S986=B32)*(ROW('Списки блоков'!$S$2:$S986)&lt;&gt;ROW('Списки блоков'!$S$3)),0),0)),"","Instagram,")
&amp;IF(ISERROR(MATCH(1,INDEX(('Списки блоков'!$T$2:$T986=B32)*(ROW('Списки блоков'!$T$2:$T986)&lt;&gt;ROW('Списки блоков'!$T$3)),0),0)),"","Zachёt,")
&amp;IF(ISERROR(MATCH(1,INDEX(('Списки блоков'!$U$2:$U986=B32)*(ROW('Списки блоков'!$U$2:$U986)&lt;&gt;ROW('Списки блоков'!$U$3)),0),0)),"","IT,")
&amp;IF(ISERROR(MATCH(1,INDEX(('Списки блоков'!$V$2:$V986=B32)*(ROW('Списки блоков'!$V$2:$V986)&lt;&gt;ROW('Списки блоков'!$V$3)),0),0)),"","ДК,")
</f>
        <v>Декораторы,Дизайн,Сценаристы,</v>
      </c>
      <c r="F32" s="11">
        <v>8.9167109833E10</v>
      </c>
      <c r="G32" s="12" t="s">
        <v>166</v>
      </c>
      <c r="H32" s="12" t="s">
        <v>167</v>
      </c>
      <c r="I32" s="10" t="s">
        <v>168</v>
      </c>
      <c r="J32" s="6" t="s">
        <v>15</v>
      </c>
    </row>
    <row r="33">
      <c r="A33" s="16" t="s">
        <v>169</v>
      </c>
      <c r="B33" s="2" t="str">
        <f t="shared" si="3"/>
        <v>Елесин Евгений</v>
      </c>
      <c r="C33" s="9">
        <v>108.0</v>
      </c>
      <c r="D33" s="10" t="s">
        <v>170</v>
      </c>
      <c r="E33" s="2" t="str">
        <f t="array" ref="E33">IF(ISERROR(MATCH(1,INDEX(('Списки блоков'!$B$2:$B986=B33)*(ROW('Списки блоков'!$B$2:$B986)&lt;&gt;ROW('Списки блоков'!$B$3)),0),0)),"","БДНС,")
&amp;IF(ISERROR(MATCH(1,INDEX(('Списки блоков'!$C$2:$C986=B33)*(ROW('Списки блоков'!$C$2:$C986)&lt;&gt;ROW('Списки блоков'!$C$3)),0),0)),"","Видеолаба,")
&amp;IF(ISERROR(MATCH(1,INDEX(('Списки блоков'!$D$2:$D986=B33)*(ROW('Списки блоков'!$D$2:$D986)&lt;&gt;ROW('Списки блоков'!$D$3)),0),0)),"","Декораторы,")
&amp;IF(ISERROR(MATCH(1,INDEX(('Списки блоков'!$E$2:$E986=B33)*(ROW('Списки блоков'!$E$2:$E986)&lt;&gt;ROW('Списки блоков'!$E$3)),0),0)),"","Дизайн,")
&amp;IF(ISERROR(MATCH(1,INDEX(('Списки блоков'!$F$2:$F986=B33)*(ROW('Списки блоков'!$F$2:$F986)&lt;&gt;ROW('Списки блоков'!$F$3)),0),0)),"","Досуг,")
&amp;IF(ISERROR(MATCH(1,INDEX(('Списки блоков'!$G$2:$G986=B33)*(ROW('Списки блоков'!$G$2:$G986)&lt;&gt;ROW('Списки блоков'!$G$3)),0),0)),"","Закупки,")
&amp;IF(ISERROR(MATCH(1,INDEX(('Списки блоков'!$H$2:$H986=B33)*(ROW('Списки блоков'!$H$2:$H986)&lt;&gt;ROW('Списки блоков'!$H$3)),0),0)),"","ИнфоБлок,")
&amp;IF(ISERROR(MATCH(1,INDEX(('Списки блоков'!$I$2:$I986=B33)*(ROW('Списки блоков'!$I$2:$I986)&lt;&gt;ROW('Списки блоков'!$I$3)),0),0)),"","КГ,")
&amp;IF(ISERROR(MATCH(1,INDEX(('Списки блоков'!$J$2:$J986=B33)*(ROW('Списки блоков'!$J$2:$J986)&lt;&gt;ROW('Списки блоков'!$J$3)),0),0)),"","МП,")
&amp;IF(ISERROR(MATCH(1,INDEX(('Списки блоков'!$K$2:$K986=B33)*(ROW('Списки блоков'!$K$2:$K986)&lt;&gt;ROW('Списки блоков'!$K$3)),0),0)),"","Профорги,")
&amp;IF(ISERROR(MATCH(1,INDEX(('Списки блоков'!$L$2:$L986=B33)*(ROW('Списки блоков'!$L$2:$L986)&lt;&gt;ROW('Списки блоков'!$L$3)),0),0)),"","Спонсоры,")
&amp;IF(ISERROR(MATCH(1,INDEX(('Списки блоков'!$M$2:$M986=B33)*(ROW('Списки блоков'!$M$2:$M986)&lt;&gt;ROW('Списки блоков'!$M$3)),0),0)),"","Склад,")
&amp;IF(ISERROR(MATCH(1,INDEX(('Списки блоков'!$N$2:$N986=B33)*(ROW('Списки блоков'!$N$2:$N986)&lt;&gt;ROW('Списки блоков'!$N$3)),0),0)),"","Сценаристы,")
&amp;IF(ISERROR(MATCH(1,INDEX(('Списки блоков'!$O$2:$O986=B33)*(ROW('Списки блоков'!$O$2:$O986)&lt;&gt;ROW('Списки блоков'!$O$3)),0),0)),"","Техники,")
&amp;IF(ISERROR(MATCH(1,INDEX(('Списки блоков'!$P$2:$P986=B33)*(ROW('Списки блоков'!$P$2:$P986)&lt;&gt;ROW('Списки блоков'!$P$3)),0),0)),"","УРС,")
&amp;IF(ISERROR(MATCH(1,INDEX(('Списки блоков'!$Q$2:$Q986=B33)*(ROW('Списки блоков'!$Q$2:$Q986)&lt;&gt;ROW('Списки блоков'!$Q$3)),0),0)),"","Фото,")
&amp;IF(ISERROR(MATCH(1,INDEX((#REF!=B33)*(ROW(#REF!)&lt;&gt;ROW(#REF!)),0),0)),"","ЭкоБлок,")
&amp;IF(ISERROR(MATCH(1,INDEX(('Списки блоков'!$R$2:$R986=B33)*(ROW('Списки блоков'!$R$2:$R986)&lt;&gt;ROW('Списки блоков'!$R$3)),0),0)),"","HR,")
&amp;IF(ISERROR(MATCH(1,INDEX(('Списки блоков'!$S$2:$S986=B33)*(ROW('Списки блоков'!$S$2:$S986)&lt;&gt;ROW('Списки блоков'!$S$3)),0),0)),"","Instagram,")
&amp;IF(ISERROR(MATCH(1,INDEX(('Списки блоков'!$T$2:$T986=B33)*(ROW('Списки блоков'!$T$2:$T986)&lt;&gt;ROW('Списки блоков'!$T$3)),0),0)),"","Zachёt,")
&amp;IF(ISERROR(MATCH(1,INDEX(('Списки блоков'!$U$2:$U986=B33)*(ROW('Списки блоков'!$U$2:$U986)&lt;&gt;ROW('Списки блоков'!$U$3)),0),0)),"","IT,")
&amp;IF(ISERROR(MATCH(1,INDEX(('Списки блоков'!$V$2:$V986=B33)*(ROW('Списки блоков'!$V$2:$V986)&lt;&gt;ROW('Списки блоков'!$V$3)),0),0)),"","ДК,")
</f>
        <v>Сценаристы,IT,</v>
      </c>
      <c r="F33" s="11">
        <v>8.96537226E10</v>
      </c>
      <c r="G33" s="12" t="s">
        <v>171</v>
      </c>
      <c r="H33" s="10" t="s">
        <v>172</v>
      </c>
      <c r="I33" s="10" t="s">
        <v>173</v>
      </c>
      <c r="J33" s="6" t="s">
        <v>22</v>
      </c>
    </row>
    <row r="34">
      <c r="A34" s="2" t="s">
        <v>174</v>
      </c>
      <c r="B34" s="2" t="str">
        <f t="shared" si="3"/>
        <v>Ефремова Ирина</v>
      </c>
      <c r="C34" s="3">
        <v>405.0</v>
      </c>
      <c r="D34" s="7" t="s">
        <v>175</v>
      </c>
      <c r="E34" s="2" t="str">
        <f t="array" ref="E34">IF(ISERROR(MATCH(1,INDEX(('Списки блоков'!$B$2:$B986=B34)*(ROW('Списки блоков'!$B$2:$B986)&lt;&gt;ROW('Списки блоков'!$B$3)),0),0)),"","БДНС,")
&amp;IF(ISERROR(MATCH(1,INDEX(('Списки блоков'!$C$2:$C986=B34)*(ROW('Списки блоков'!$C$2:$C986)&lt;&gt;ROW('Списки блоков'!$C$3)),0),0)),"","Видеолаба,")
&amp;IF(ISERROR(MATCH(1,INDEX(('Списки блоков'!$D$2:$D986=B34)*(ROW('Списки блоков'!$D$2:$D986)&lt;&gt;ROW('Списки блоков'!$D$3)),0),0)),"","Декораторы,")
&amp;IF(ISERROR(MATCH(1,INDEX(('Списки блоков'!$E$2:$E986=B34)*(ROW('Списки блоков'!$E$2:$E986)&lt;&gt;ROW('Списки блоков'!$E$3)),0),0)),"","Дизайн,")
&amp;IF(ISERROR(MATCH(1,INDEX(('Списки блоков'!$F$2:$F986=B34)*(ROW('Списки блоков'!$F$2:$F986)&lt;&gt;ROW('Списки блоков'!$F$3)),0),0)),"","Досуг,")
&amp;IF(ISERROR(MATCH(1,INDEX(('Списки блоков'!$G$2:$G986=B34)*(ROW('Списки блоков'!$G$2:$G986)&lt;&gt;ROW('Списки блоков'!$G$3)),0),0)),"","Закупки,")
&amp;IF(ISERROR(MATCH(1,INDEX(('Списки блоков'!$H$2:$H986=B34)*(ROW('Списки блоков'!$H$2:$H986)&lt;&gt;ROW('Списки блоков'!$H$3)),0),0)),"","ИнфоБлок,")
&amp;IF(ISERROR(MATCH(1,INDEX(('Списки блоков'!$I$2:$I986=B34)*(ROW('Списки блоков'!$I$2:$I986)&lt;&gt;ROW('Списки блоков'!$I$3)),0),0)),"","КГ,")
&amp;IF(ISERROR(MATCH(1,INDEX(('Списки блоков'!$J$2:$J986=B34)*(ROW('Списки блоков'!$J$2:$J986)&lt;&gt;ROW('Списки блоков'!$J$3)),0),0)),"","МП,")
&amp;IF(ISERROR(MATCH(1,INDEX(('Списки блоков'!$K$2:$K986=B34)*(ROW('Списки блоков'!$K$2:$K986)&lt;&gt;ROW('Списки блоков'!$K$3)),0),0)),"","Профорги,")
&amp;IF(ISERROR(MATCH(1,INDEX(('Списки блоков'!$L$2:$L986=B34)*(ROW('Списки блоков'!$L$2:$L986)&lt;&gt;ROW('Списки блоков'!$L$3)),0),0)),"","Спонсоры,")
&amp;IF(ISERROR(MATCH(1,INDEX(('Списки блоков'!$M$2:$M986=B34)*(ROW('Списки блоков'!$M$2:$M986)&lt;&gt;ROW('Списки блоков'!$M$3)),0),0)),"","Склад,")
&amp;IF(ISERROR(MATCH(1,INDEX(('Списки блоков'!$N$2:$N986=B34)*(ROW('Списки блоков'!$N$2:$N986)&lt;&gt;ROW('Списки блоков'!$N$3)),0),0)),"","Сценаристы,")
&amp;IF(ISERROR(MATCH(1,INDEX(('Списки блоков'!$O$2:$O986=B34)*(ROW('Списки блоков'!$O$2:$O986)&lt;&gt;ROW('Списки блоков'!$O$3)),0),0)),"","Техники,")
&amp;IF(ISERROR(MATCH(1,INDEX(('Списки блоков'!$P$2:$P986=B34)*(ROW('Списки блоков'!$P$2:$P986)&lt;&gt;ROW('Списки блоков'!$P$3)),0),0)),"","УРС,")
&amp;IF(ISERROR(MATCH(1,INDEX(('Списки блоков'!$Q$2:$Q986=B34)*(ROW('Списки блоков'!$Q$2:$Q986)&lt;&gt;ROW('Списки блоков'!$Q$3)),0),0)),"","Фото,")
&amp;IF(ISERROR(MATCH(1,INDEX((#REF!=B34)*(ROW(#REF!)&lt;&gt;ROW(#REF!)),0),0)),"","ЭкоБлок,")
&amp;IF(ISERROR(MATCH(1,INDEX(('Списки блоков'!$R$2:$R986=B34)*(ROW('Списки блоков'!$R$2:$R986)&lt;&gt;ROW('Списки блоков'!$R$3)),0),0)),"","HR,")
&amp;IF(ISERROR(MATCH(1,INDEX(('Списки блоков'!$S$2:$S986=B34)*(ROW('Списки блоков'!$S$2:$S986)&lt;&gt;ROW('Списки блоков'!$S$3)),0),0)),"","Instagram,")
&amp;IF(ISERROR(MATCH(1,INDEX(('Списки блоков'!$T$2:$T986=B34)*(ROW('Списки блоков'!$T$2:$T986)&lt;&gt;ROW('Списки блоков'!$T$3)),0),0)),"","Zachёt,")
&amp;IF(ISERROR(MATCH(1,INDEX(('Списки блоков'!$U$2:$U986=B34)*(ROW('Списки блоков'!$U$2:$U986)&lt;&gt;ROW('Списки блоков'!$U$3)),0),0)),"","IT,")
&amp;IF(ISERROR(MATCH(1,INDEX(('Списки блоков'!$V$2:$V986=B34)*(ROW('Списки блоков'!$V$2:$V986)&lt;&gt;ROW('Списки блоков'!$V$3)),0),0)),"","ДК,")
</f>
        <v>ИнфоБлок,КГ,Склад,Сценаристы,HR,ДК,</v>
      </c>
      <c r="F34" s="4">
        <v>8.9772716778E10</v>
      </c>
      <c r="G34" s="5" t="s">
        <v>176</v>
      </c>
      <c r="H34" s="5" t="s">
        <v>177</v>
      </c>
      <c r="I34" s="2" t="s">
        <v>178</v>
      </c>
      <c r="J34" s="7" t="s">
        <v>15</v>
      </c>
    </row>
    <row r="35">
      <c r="A35" s="2" t="s">
        <v>179</v>
      </c>
      <c r="B35" s="2" t="str">
        <f t="shared" si="3"/>
        <v>Жигалова Екатерина</v>
      </c>
      <c r="C35" s="3">
        <v>209.0</v>
      </c>
      <c r="D35" s="2" t="s">
        <v>50</v>
      </c>
      <c r="E35" s="2" t="str">
        <f t="array" ref="E35">IF(ISERROR(MATCH(1,INDEX(('Списки блоков'!$B$2:$B986=B35)*(ROW('Списки блоков'!$B$2:$B986)&lt;&gt;ROW('Списки блоков'!$B$3)),0),0)),"","БДНС,")
&amp;IF(ISERROR(MATCH(1,INDEX(('Списки блоков'!$C$2:$C986=B35)*(ROW('Списки блоков'!$C$2:$C986)&lt;&gt;ROW('Списки блоков'!$C$3)),0),0)),"","Видеолаба,")
&amp;IF(ISERROR(MATCH(1,INDEX(('Списки блоков'!$D$2:$D986=B35)*(ROW('Списки блоков'!$D$2:$D986)&lt;&gt;ROW('Списки блоков'!$D$3)),0),0)),"","Декораторы,")
&amp;IF(ISERROR(MATCH(1,INDEX(('Списки блоков'!$E$2:$E986=B35)*(ROW('Списки блоков'!$E$2:$E986)&lt;&gt;ROW('Списки блоков'!$E$3)),0),0)),"","Дизайн,")
&amp;IF(ISERROR(MATCH(1,INDEX(('Списки блоков'!$F$2:$F986=B35)*(ROW('Списки блоков'!$F$2:$F986)&lt;&gt;ROW('Списки блоков'!$F$3)),0),0)),"","Досуг,")
&amp;IF(ISERROR(MATCH(1,INDEX(('Списки блоков'!$G$2:$G986=B35)*(ROW('Списки блоков'!$G$2:$G986)&lt;&gt;ROW('Списки блоков'!$G$3)),0),0)),"","Закупки,")
&amp;IF(ISERROR(MATCH(1,INDEX(('Списки блоков'!$H$2:$H986=B35)*(ROW('Списки блоков'!$H$2:$H986)&lt;&gt;ROW('Списки блоков'!$H$3)),0),0)),"","ИнфоБлок,")
&amp;IF(ISERROR(MATCH(1,INDEX(('Списки блоков'!$I$2:$I986=B35)*(ROW('Списки блоков'!$I$2:$I986)&lt;&gt;ROW('Списки блоков'!$I$3)),0),0)),"","КГ,")
&amp;IF(ISERROR(MATCH(1,INDEX(('Списки блоков'!$J$2:$J986=B35)*(ROW('Списки блоков'!$J$2:$J986)&lt;&gt;ROW('Списки блоков'!$J$3)),0),0)),"","МП,")
&amp;IF(ISERROR(MATCH(1,INDEX(('Списки блоков'!$K$2:$K986=B35)*(ROW('Списки блоков'!$K$2:$K986)&lt;&gt;ROW('Списки блоков'!$K$3)),0),0)),"","Профорги,")
&amp;IF(ISERROR(MATCH(1,INDEX(('Списки блоков'!$L$2:$L986=B35)*(ROW('Списки блоков'!$L$2:$L986)&lt;&gt;ROW('Списки блоков'!$L$3)),0),0)),"","Спонсоры,")
&amp;IF(ISERROR(MATCH(1,INDEX(('Списки блоков'!$M$2:$M986=B35)*(ROW('Списки блоков'!$M$2:$M986)&lt;&gt;ROW('Списки блоков'!$M$3)),0),0)),"","Склад,")
&amp;IF(ISERROR(MATCH(1,INDEX(('Списки блоков'!$N$2:$N986=B35)*(ROW('Списки блоков'!$N$2:$N986)&lt;&gt;ROW('Списки блоков'!$N$3)),0),0)),"","Сценаристы,")
&amp;IF(ISERROR(MATCH(1,INDEX(('Списки блоков'!$O$2:$O986=B35)*(ROW('Списки блоков'!$O$2:$O986)&lt;&gt;ROW('Списки блоков'!$O$3)),0),0)),"","Техники,")
&amp;IF(ISERROR(MATCH(1,INDEX(('Списки блоков'!$P$2:$P986=B35)*(ROW('Списки блоков'!$P$2:$P986)&lt;&gt;ROW('Списки блоков'!$P$3)),0),0)),"","УРС,")
&amp;IF(ISERROR(MATCH(1,INDEX(('Списки блоков'!$Q$2:$Q986=B35)*(ROW('Списки блоков'!$Q$2:$Q986)&lt;&gt;ROW('Списки блоков'!$Q$3)),0),0)),"","Фото,")
&amp;IF(ISERROR(MATCH(1,INDEX((#REF!=B35)*(ROW(#REF!)&lt;&gt;ROW(#REF!)),0),0)),"","ЭкоБлок,")
&amp;IF(ISERROR(MATCH(1,INDEX(('Списки блоков'!$R$2:$R986=B35)*(ROW('Списки блоков'!$R$2:$R986)&lt;&gt;ROW('Списки блоков'!$R$3)),0),0)),"","HR,")
&amp;IF(ISERROR(MATCH(1,INDEX(('Списки блоков'!$S$2:$S986=B35)*(ROW('Списки блоков'!$S$2:$S986)&lt;&gt;ROW('Списки блоков'!$S$3)),0),0)),"","Instagram,")
&amp;IF(ISERROR(MATCH(1,INDEX(('Списки блоков'!$T$2:$T986=B35)*(ROW('Списки блоков'!$T$2:$T986)&lt;&gt;ROW('Списки блоков'!$T$3)),0),0)),"","Zachёt,")
&amp;IF(ISERROR(MATCH(1,INDEX(('Списки блоков'!$U$2:$U986=B35)*(ROW('Списки блоков'!$U$2:$U986)&lt;&gt;ROW('Списки блоков'!$U$3)),0),0)),"","IT,")
&amp;IF(ISERROR(MATCH(1,INDEX(('Списки блоков'!$V$2:$V986=B35)*(ROW('Списки блоков'!$V$2:$V986)&lt;&gt;ROW('Списки блоков'!$V$3)),0),0)),"","ДК,")
</f>
        <v>Дизайн,Закупки,Фото,</v>
      </c>
      <c r="F35" s="8">
        <v>8.9209204119E10</v>
      </c>
      <c r="G35" s="5" t="s">
        <v>180</v>
      </c>
      <c r="H35" s="2" t="s">
        <v>181</v>
      </c>
      <c r="I35" s="2" t="s">
        <v>182</v>
      </c>
      <c r="J35" s="7" t="s">
        <v>22</v>
      </c>
    </row>
    <row r="36">
      <c r="A36" s="2" t="s">
        <v>183</v>
      </c>
      <c r="B36" s="2" t="str">
        <f t="shared" si="3"/>
        <v>Жукова Наталия</v>
      </c>
      <c r="C36" s="3">
        <v>105.0</v>
      </c>
      <c r="D36" s="2" t="s">
        <v>184</v>
      </c>
      <c r="E36" s="2" t="str">
        <f t="array" ref="E36">IF(ISERROR(MATCH(1,INDEX(('Списки блоков'!$B$2:$B986=B36)*(ROW('Списки блоков'!$B$2:$B986)&lt;&gt;ROW('Списки блоков'!$B$3)),0),0)),"","БДНС,")
&amp;IF(ISERROR(MATCH(1,INDEX(('Списки блоков'!$C$2:$C986=B36)*(ROW('Списки блоков'!$C$2:$C986)&lt;&gt;ROW('Списки блоков'!$C$3)),0),0)),"","Видеолаба,")
&amp;IF(ISERROR(MATCH(1,INDEX(('Списки блоков'!$D$2:$D986=B36)*(ROW('Списки блоков'!$D$2:$D986)&lt;&gt;ROW('Списки блоков'!$D$3)),0),0)),"","Декораторы,")
&amp;IF(ISERROR(MATCH(1,INDEX(('Списки блоков'!$E$2:$E986=B36)*(ROW('Списки блоков'!$E$2:$E986)&lt;&gt;ROW('Списки блоков'!$E$3)),0),0)),"","Дизайн,")
&amp;IF(ISERROR(MATCH(1,INDEX(('Списки блоков'!$F$2:$F986=B36)*(ROW('Списки блоков'!$F$2:$F986)&lt;&gt;ROW('Списки блоков'!$F$3)),0),0)),"","Досуг,")
&amp;IF(ISERROR(MATCH(1,INDEX(('Списки блоков'!$G$2:$G986=B36)*(ROW('Списки блоков'!$G$2:$G986)&lt;&gt;ROW('Списки блоков'!$G$3)),0),0)),"","Закупки,")
&amp;IF(ISERROR(MATCH(1,INDEX(('Списки блоков'!$H$2:$H986=B36)*(ROW('Списки блоков'!$H$2:$H986)&lt;&gt;ROW('Списки блоков'!$H$3)),0),0)),"","ИнфоБлок,")
&amp;IF(ISERROR(MATCH(1,INDEX(('Списки блоков'!$I$2:$I986=B36)*(ROW('Списки блоков'!$I$2:$I986)&lt;&gt;ROW('Списки блоков'!$I$3)),0),0)),"","КГ,")
&amp;IF(ISERROR(MATCH(1,INDEX(('Списки блоков'!$J$2:$J986=B36)*(ROW('Списки блоков'!$J$2:$J986)&lt;&gt;ROW('Списки блоков'!$J$3)),0),0)),"","МП,")
&amp;IF(ISERROR(MATCH(1,INDEX(('Списки блоков'!$K$2:$K986=B36)*(ROW('Списки блоков'!$K$2:$K986)&lt;&gt;ROW('Списки блоков'!$K$3)),0),0)),"","Профорги,")
&amp;IF(ISERROR(MATCH(1,INDEX(('Списки блоков'!$L$2:$L986=B36)*(ROW('Списки блоков'!$L$2:$L986)&lt;&gt;ROW('Списки блоков'!$L$3)),0),0)),"","Спонсоры,")
&amp;IF(ISERROR(MATCH(1,INDEX(('Списки блоков'!$M$2:$M986=B36)*(ROW('Списки блоков'!$M$2:$M986)&lt;&gt;ROW('Списки блоков'!$M$3)),0),0)),"","Склад,")
&amp;IF(ISERROR(MATCH(1,INDEX(('Списки блоков'!$N$2:$N986=B36)*(ROW('Списки блоков'!$N$2:$N986)&lt;&gt;ROW('Списки блоков'!$N$3)),0),0)),"","Сценаристы,")
&amp;IF(ISERROR(MATCH(1,INDEX(('Списки блоков'!$O$2:$O986=B36)*(ROW('Списки блоков'!$O$2:$O986)&lt;&gt;ROW('Списки блоков'!$O$3)),0),0)),"","Техники,")
&amp;IF(ISERROR(MATCH(1,INDEX(('Списки блоков'!$P$2:$P986=B36)*(ROW('Списки блоков'!$P$2:$P986)&lt;&gt;ROW('Списки блоков'!$P$3)),0),0)),"","УРС,")
&amp;IF(ISERROR(MATCH(1,INDEX(('Списки блоков'!$Q$2:$Q986=B36)*(ROW('Списки блоков'!$Q$2:$Q986)&lt;&gt;ROW('Списки блоков'!$Q$3)),0),0)),"","Фото,")
&amp;IF(ISERROR(MATCH(1,INDEX((#REF!=B36)*(ROW(#REF!)&lt;&gt;ROW(#REF!)),0),0)),"","ЭкоБлок,")
&amp;IF(ISERROR(MATCH(1,INDEX(('Списки блоков'!$R$2:$R986=B36)*(ROW('Списки блоков'!$R$2:$R986)&lt;&gt;ROW('Списки блоков'!$R$3)),0),0)),"","HR,")
&amp;IF(ISERROR(MATCH(1,INDEX(('Списки блоков'!$S$2:$S986=B36)*(ROW('Списки блоков'!$S$2:$S986)&lt;&gt;ROW('Списки блоков'!$S$3)),0),0)),"","Instagram,")
&amp;IF(ISERROR(MATCH(1,INDEX(('Списки блоков'!$T$2:$T986=B36)*(ROW('Списки блоков'!$T$2:$T986)&lt;&gt;ROW('Списки блоков'!$T$3)),0),0)),"","Zachёt,")
&amp;IF(ISERROR(MATCH(1,INDEX(('Списки блоков'!$U$2:$U986=B36)*(ROW('Списки блоков'!$U$2:$U986)&lt;&gt;ROW('Списки блоков'!$U$3)),0),0)),"","IT,")
&amp;IF(ISERROR(MATCH(1,INDEX(('Списки блоков'!$V$2:$V986=B36)*(ROW('Списки блоков'!$V$2:$V986)&lt;&gt;ROW('Списки блоков'!$V$3)),0),0)),"","ДК,")
</f>
        <v>Декораторы,Дизайн,Техники,</v>
      </c>
      <c r="F36" s="8">
        <v>8.9605507712E10</v>
      </c>
      <c r="G36" s="5" t="s">
        <v>185</v>
      </c>
      <c r="H36" s="2" t="s">
        <v>186</v>
      </c>
      <c r="I36" s="2" t="s">
        <v>187</v>
      </c>
      <c r="J36" s="7" t="s">
        <v>22</v>
      </c>
    </row>
    <row r="37">
      <c r="A37" s="2" t="s">
        <v>188</v>
      </c>
      <c r="B37" s="2" t="str">
        <f t="shared" si="3"/>
        <v>Журавков Даниил</v>
      </c>
      <c r="C37" s="3">
        <v>209.0</v>
      </c>
      <c r="D37" s="2" t="s">
        <v>189</v>
      </c>
      <c r="E37" s="2" t="str">
        <f t="array" ref="E37">IF(ISERROR(MATCH(1,INDEX(('Списки блоков'!$B$2:$B986=B37)*(ROW('Списки блоков'!$B$2:$B986)&lt;&gt;ROW('Списки блоков'!$B$3)),0),0)),"","БДНС,")
&amp;IF(ISERROR(MATCH(1,INDEX(('Списки блоков'!$C$2:$C986=B37)*(ROW('Списки блоков'!$C$2:$C986)&lt;&gt;ROW('Списки блоков'!$C$3)),0),0)),"","Видеолаба,")
&amp;IF(ISERROR(MATCH(1,INDEX(('Списки блоков'!$D$2:$D986=B37)*(ROW('Списки блоков'!$D$2:$D986)&lt;&gt;ROW('Списки блоков'!$D$3)),0),0)),"","Декораторы,")
&amp;IF(ISERROR(MATCH(1,INDEX(('Списки блоков'!$E$2:$E986=B37)*(ROW('Списки блоков'!$E$2:$E986)&lt;&gt;ROW('Списки блоков'!$E$3)),0),0)),"","Дизайн,")
&amp;IF(ISERROR(MATCH(1,INDEX(('Списки блоков'!$F$2:$F986=B37)*(ROW('Списки блоков'!$F$2:$F986)&lt;&gt;ROW('Списки блоков'!$F$3)),0),0)),"","Досуг,")
&amp;IF(ISERROR(MATCH(1,INDEX(('Списки блоков'!$G$2:$G986=B37)*(ROW('Списки блоков'!$G$2:$G986)&lt;&gt;ROW('Списки блоков'!$G$3)),0),0)),"","Закупки,")
&amp;IF(ISERROR(MATCH(1,INDEX(('Списки блоков'!$H$2:$H986=B37)*(ROW('Списки блоков'!$H$2:$H986)&lt;&gt;ROW('Списки блоков'!$H$3)),0),0)),"","ИнфоБлок,")
&amp;IF(ISERROR(MATCH(1,INDEX(('Списки блоков'!$I$2:$I986=B37)*(ROW('Списки блоков'!$I$2:$I986)&lt;&gt;ROW('Списки блоков'!$I$3)),0),0)),"","КГ,")
&amp;IF(ISERROR(MATCH(1,INDEX(('Списки блоков'!$J$2:$J986=B37)*(ROW('Списки блоков'!$J$2:$J986)&lt;&gt;ROW('Списки блоков'!$J$3)),0),0)),"","МП,")
&amp;IF(ISERROR(MATCH(1,INDEX(('Списки блоков'!$K$2:$K986=B37)*(ROW('Списки блоков'!$K$2:$K986)&lt;&gt;ROW('Списки блоков'!$K$3)),0),0)),"","Профорги,")
&amp;IF(ISERROR(MATCH(1,INDEX(('Списки блоков'!$L$2:$L986=B37)*(ROW('Списки блоков'!$L$2:$L986)&lt;&gt;ROW('Списки блоков'!$L$3)),0),0)),"","Спонсоры,")
&amp;IF(ISERROR(MATCH(1,INDEX(('Списки блоков'!$M$2:$M986=B37)*(ROW('Списки блоков'!$M$2:$M986)&lt;&gt;ROW('Списки блоков'!$M$3)),0),0)),"","Склад,")
&amp;IF(ISERROR(MATCH(1,INDEX(('Списки блоков'!$N$2:$N986=B37)*(ROW('Списки блоков'!$N$2:$N986)&lt;&gt;ROW('Списки блоков'!$N$3)),0),0)),"","Сценаристы,")
&amp;IF(ISERROR(MATCH(1,INDEX(('Списки блоков'!$O$2:$O986=B37)*(ROW('Списки блоков'!$O$2:$O986)&lt;&gt;ROW('Списки блоков'!$O$3)),0),0)),"","Техники,")
&amp;IF(ISERROR(MATCH(1,INDEX(('Списки блоков'!$P$2:$P986=B37)*(ROW('Списки блоков'!$P$2:$P986)&lt;&gt;ROW('Списки блоков'!$P$3)),0),0)),"","УРС,")
&amp;IF(ISERROR(MATCH(1,INDEX(('Списки блоков'!$Q$2:$Q986=B37)*(ROW('Списки блоков'!$Q$2:$Q986)&lt;&gt;ROW('Списки блоков'!$Q$3)),0),0)),"","Фото,")
&amp;IF(ISERROR(MATCH(1,INDEX((#REF!=B37)*(ROW(#REF!)&lt;&gt;ROW(#REF!)),0),0)),"","ЭкоБлок,")
&amp;IF(ISERROR(MATCH(1,INDEX(('Списки блоков'!$R$2:$R986=B37)*(ROW('Списки блоков'!$R$2:$R986)&lt;&gt;ROW('Списки блоков'!$R$3)),0),0)),"","HR,")
&amp;IF(ISERROR(MATCH(1,INDEX(('Списки блоков'!$S$2:$S986=B37)*(ROW('Списки блоков'!$S$2:$S986)&lt;&gt;ROW('Списки блоков'!$S$3)),0),0)),"","Instagram,")
&amp;IF(ISERROR(MATCH(1,INDEX(('Списки блоков'!$T$2:$T986=B37)*(ROW('Списки блоков'!$T$2:$T986)&lt;&gt;ROW('Списки блоков'!$T$3)),0),0)),"","Zachёt,")
&amp;IF(ISERROR(MATCH(1,INDEX(('Списки блоков'!$U$2:$U986=B37)*(ROW('Списки блоков'!$U$2:$U986)&lt;&gt;ROW('Списки блоков'!$U$3)),0),0)),"","IT,")
&amp;IF(ISERROR(MATCH(1,INDEX(('Списки блоков'!$V$2:$V986=B37)*(ROW('Списки блоков'!$V$2:$V986)&lt;&gt;ROW('Списки блоков'!$V$3)),0),0)),"","ДК,")
</f>
        <v>КГ,Сценаристы,</v>
      </c>
      <c r="F37" s="8">
        <v>8.9167375089E10</v>
      </c>
      <c r="G37" s="2" t="s">
        <v>190</v>
      </c>
      <c r="H37" s="2" t="s">
        <v>191</v>
      </c>
      <c r="I37" s="2" t="s">
        <v>192</v>
      </c>
      <c r="J37" s="7" t="s">
        <v>22</v>
      </c>
    </row>
    <row r="38">
      <c r="A38" s="2" t="s">
        <v>193</v>
      </c>
      <c r="B38" s="2" t="str">
        <f t="shared" si="3"/>
        <v>Журавков Денис</v>
      </c>
      <c r="C38" s="3">
        <v>209.0</v>
      </c>
      <c r="D38" s="2" t="s">
        <v>194</v>
      </c>
      <c r="E38" s="2" t="str">
        <f t="array" ref="E38">IF(ISERROR(MATCH(1,INDEX(('Списки блоков'!$B$2:$B986=B38)*(ROW('Списки блоков'!$B$2:$B986)&lt;&gt;ROW('Списки блоков'!$B$3)),0),0)),"","БДНС,")
&amp;IF(ISERROR(MATCH(1,INDEX(('Списки блоков'!$C$2:$C986=B38)*(ROW('Списки блоков'!$C$2:$C986)&lt;&gt;ROW('Списки блоков'!$C$3)),0),0)),"","Видеолаба,")
&amp;IF(ISERROR(MATCH(1,INDEX(('Списки блоков'!$D$2:$D986=B38)*(ROW('Списки блоков'!$D$2:$D986)&lt;&gt;ROW('Списки блоков'!$D$3)),0),0)),"","Декораторы,")
&amp;IF(ISERROR(MATCH(1,INDEX(('Списки блоков'!$E$2:$E986=B38)*(ROW('Списки блоков'!$E$2:$E986)&lt;&gt;ROW('Списки блоков'!$E$3)),0),0)),"","Дизайн,")
&amp;IF(ISERROR(MATCH(1,INDEX(('Списки блоков'!$F$2:$F986=B38)*(ROW('Списки блоков'!$F$2:$F986)&lt;&gt;ROW('Списки блоков'!$F$3)),0),0)),"","Досуг,")
&amp;IF(ISERROR(MATCH(1,INDEX(('Списки блоков'!$G$2:$G986=B38)*(ROW('Списки блоков'!$G$2:$G986)&lt;&gt;ROW('Списки блоков'!$G$3)),0),0)),"","Закупки,")
&amp;IF(ISERROR(MATCH(1,INDEX(('Списки блоков'!$H$2:$H986=B38)*(ROW('Списки блоков'!$H$2:$H986)&lt;&gt;ROW('Списки блоков'!$H$3)),0),0)),"","ИнфоБлок,")
&amp;IF(ISERROR(MATCH(1,INDEX(('Списки блоков'!$I$2:$I986=B38)*(ROW('Списки блоков'!$I$2:$I986)&lt;&gt;ROW('Списки блоков'!$I$3)),0),0)),"","КГ,")
&amp;IF(ISERROR(MATCH(1,INDEX(('Списки блоков'!$J$2:$J986=B38)*(ROW('Списки блоков'!$J$2:$J986)&lt;&gt;ROW('Списки блоков'!$J$3)),0),0)),"","МП,")
&amp;IF(ISERROR(MATCH(1,INDEX(('Списки блоков'!$K$2:$K986=B38)*(ROW('Списки блоков'!$K$2:$K986)&lt;&gt;ROW('Списки блоков'!$K$3)),0),0)),"","Профорги,")
&amp;IF(ISERROR(MATCH(1,INDEX(('Списки блоков'!$L$2:$L986=B38)*(ROW('Списки блоков'!$L$2:$L986)&lt;&gt;ROW('Списки блоков'!$L$3)),0),0)),"","Спонсоры,")
&amp;IF(ISERROR(MATCH(1,INDEX(('Списки блоков'!$M$2:$M986=B38)*(ROW('Списки блоков'!$M$2:$M986)&lt;&gt;ROW('Списки блоков'!$M$3)),0),0)),"","Склад,")
&amp;IF(ISERROR(MATCH(1,INDEX(('Списки блоков'!$N$2:$N986=B38)*(ROW('Списки блоков'!$N$2:$N986)&lt;&gt;ROW('Списки блоков'!$N$3)),0),0)),"","Сценаристы,")
&amp;IF(ISERROR(MATCH(1,INDEX(('Списки блоков'!$O$2:$O986=B38)*(ROW('Списки блоков'!$O$2:$O986)&lt;&gt;ROW('Списки блоков'!$O$3)),0),0)),"","Техники,")
&amp;IF(ISERROR(MATCH(1,INDEX(('Списки блоков'!$P$2:$P986=B38)*(ROW('Списки блоков'!$P$2:$P986)&lt;&gt;ROW('Списки блоков'!$P$3)),0),0)),"","УРС,")
&amp;IF(ISERROR(MATCH(1,INDEX(('Списки блоков'!$Q$2:$Q986=B38)*(ROW('Списки блоков'!$Q$2:$Q986)&lt;&gt;ROW('Списки блоков'!$Q$3)),0),0)),"","Фото,")
&amp;IF(ISERROR(MATCH(1,INDEX((#REF!=B38)*(ROW(#REF!)&lt;&gt;ROW(#REF!)),0),0)),"","ЭкоБлок,")
&amp;IF(ISERROR(MATCH(1,INDEX(('Списки блоков'!$R$2:$R986=B38)*(ROW('Списки блоков'!$R$2:$R986)&lt;&gt;ROW('Списки блоков'!$R$3)),0),0)),"","HR,")
&amp;IF(ISERROR(MATCH(1,INDEX(('Списки блоков'!$S$2:$S986=B38)*(ROW('Списки блоков'!$S$2:$S986)&lt;&gt;ROW('Списки блоков'!$S$3)),0),0)),"","Instagram,")
&amp;IF(ISERROR(MATCH(1,INDEX(('Списки блоков'!$T$2:$T986=B38)*(ROW('Списки блоков'!$T$2:$T986)&lt;&gt;ROW('Списки блоков'!$T$3)),0),0)),"","Zachёt,")
&amp;IF(ISERROR(MATCH(1,INDEX(('Списки блоков'!$U$2:$U986=B38)*(ROW('Списки блоков'!$U$2:$U986)&lt;&gt;ROW('Списки блоков'!$U$3)),0),0)),"","IT,")
&amp;IF(ISERROR(MATCH(1,INDEX(('Списки блоков'!$V$2:$V986=B38)*(ROW('Списки блоков'!$V$2:$V986)&lt;&gt;ROW('Списки блоков'!$V$3)),0),0)),"","ДК,")
</f>
        <v>КГ,Instagram,</v>
      </c>
      <c r="F38" s="8">
        <v>8.9167374905E10</v>
      </c>
      <c r="G38" s="5" t="s">
        <v>195</v>
      </c>
      <c r="H38" s="2" t="s">
        <v>196</v>
      </c>
      <c r="I38" s="2" t="s">
        <v>197</v>
      </c>
      <c r="J38" s="7" t="s">
        <v>22</v>
      </c>
    </row>
    <row r="39">
      <c r="A39" s="2" t="s">
        <v>198</v>
      </c>
      <c r="B39" s="2" t="str">
        <f t="shared" si="3"/>
        <v>Журавлева Светлана</v>
      </c>
      <c r="C39" s="3">
        <v>205.0</v>
      </c>
      <c r="D39" s="2" t="s">
        <v>199</v>
      </c>
      <c r="E39" s="2" t="str">
        <f t="array" ref="E39">IF(ISERROR(MATCH(1,INDEX(('Списки блоков'!$B$2:$B986=B39)*(ROW('Списки блоков'!$B$2:$B986)&lt;&gt;ROW('Списки блоков'!$B$3)),0),0)),"","БДНС,")
&amp;IF(ISERROR(MATCH(1,INDEX(('Списки блоков'!$C$2:$C986=B39)*(ROW('Списки блоков'!$C$2:$C986)&lt;&gt;ROW('Списки блоков'!$C$3)),0),0)),"","Видеолаба,")
&amp;IF(ISERROR(MATCH(1,INDEX(('Списки блоков'!$D$2:$D986=B39)*(ROW('Списки блоков'!$D$2:$D986)&lt;&gt;ROW('Списки блоков'!$D$3)),0),0)),"","Декораторы,")
&amp;IF(ISERROR(MATCH(1,INDEX(('Списки блоков'!$E$2:$E986=B39)*(ROW('Списки блоков'!$E$2:$E986)&lt;&gt;ROW('Списки блоков'!$E$3)),0),0)),"","Дизайн,")
&amp;IF(ISERROR(MATCH(1,INDEX(('Списки блоков'!$F$2:$F986=B39)*(ROW('Списки блоков'!$F$2:$F986)&lt;&gt;ROW('Списки блоков'!$F$3)),0),0)),"","Досуг,")
&amp;IF(ISERROR(MATCH(1,INDEX(('Списки блоков'!$G$2:$G986=B39)*(ROW('Списки блоков'!$G$2:$G986)&lt;&gt;ROW('Списки блоков'!$G$3)),0),0)),"","Закупки,")
&amp;IF(ISERROR(MATCH(1,INDEX(('Списки блоков'!$H$2:$H986=B39)*(ROW('Списки блоков'!$H$2:$H986)&lt;&gt;ROW('Списки блоков'!$H$3)),0),0)),"","ИнфоБлок,")
&amp;IF(ISERROR(MATCH(1,INDEX(('Списки блоков'!$I$2:$I986=B39)*(ROW('Списки блоков'!$I$2:$I986)&lt;&gt;ROW('Списки блоков'!$I$3)),0),0)),"","КГ,")
&amp;IF(ISERROR(MATCH(1,INDEX(('Списки блоков'!$J$2:$J986=B39)*(ROW('Списки блоков'!$J$2:$J986)&lt;&gt;ROW('Списки блоков'!$J$3)),0),0)),"","МП,")
&amp;IF(ISERROR(MATCH(1,INDEX(('Списки блоков'!$K$2:$K986=B39)*(ROW('Списки блоков'!$K$2:$K986)&lt;&gt;ROW('Списки блоков'!$K$3)),0),0)),"","Профорги,")
&amp;IF(ISERROR(MATCH(1,INDEX(('Списки блоков'!$L$2:$L986=B39)*(ROW('Списки блоков'!$L$2:$L986)&lt;&gt;ROW('Списки блоков'!$L$3)),0),0)),"","Спонсоры,")
&amp;IF(ISERROR(MATCH(1,INDEX(('Списки блоков'!$M$2:$M986=B39)*(ROW('Списки блоков'!$M$2:$M986)&lt;&gt;ROW('Списки блоков'!$M$3)),0),0)),"","Склад,")
&amp;IF(ISERROR(MATCH(1,INDEX(('Списки блоков'!$N$2:$N986=B39)*(ROW('Списки блоков'!$N$2:$N986)&lt;&gt;ROW('Списки блоков'!$N$3)),0),0)),"","Сценаристы,")
&amp;IF(ISERROR(MATCH(1,INDEX(('Списки блоков'!$O$2:$O986=B39)*(ROW('Списки блоков'!$O$2:$O986)&lt;&gt;ROW('Списки блоков'!$O$3)),0),0)),"","Техники,")
&amp;IF(ISERROR(MATCH(1,INDEX(('Списки блоков'!$P$2:$P986=B39)*(ROW('Списки блоков'!$P$2:$P986)&lt;&gt;ROW('Списки блоков'!$P$3)),0),0)),"","УРС,")
&amp;IF(ISERROR(MATCH(1,INDEX(('Списки блоков'!$Q$2:$Q986=B39)*(ROW('Списки блоков'!$Q$2:$Q986)&lt;&gt;ROW('Списки блоков'!$Q$3)),0),0)),"","Фото,")
&amp;IF(ISERROR(MATCH(1,INDEX((#REF!=B39)*(ROW(#REF!)&lt;&gt;ROW(#REF!)),0),0)),"","ЭкоБлок,")
&amp;IF(ISERROR(MATCH(1,INDEX(('Списки блоков'!$R$2:$R986=B39)*(ROW('Списки блоков'!$R$2:$R986)&lt;&gt;ROW('Списки блоков'!$R$3)),0),0)),"","HR,")
&amp;IF(ISERROR(MATCH(1,INDEX(('Списки блоков'!$S$2:$S986=B39)*(ROW('Списки блоков'!$S$2:$S986)&lt;&gt;ROW('Списки блоков'!$S$3)),0),0)),"","Instagram,")
&amp;IF(ISERROR(MATCH(1,INDEX(('Списки блоков'!$T$2:$T986=B39)*(ROW('Списки блоков'!$T$2:$T986)&lt;&gt;ROW('Списки блоков'!$T$3)),0),0)),"","Zachёt,")
&amp;IF(ISERROR(MATCH(1,INDEX(('Списки блоков'!$U$2:$U986=B39)*(ROW('Списки блоков'!$U$2:$U986)&lt;&gt;ROW('Списки блоков'!$U$3)),0),0)),"","IT,")
&amp;IF(ISERROR(MATCH(1,INDEX(('Списки блоков'!$V$2:$V986=B39)*(ROW('Списки блоков'!$V$2:$V986)&lt;&gt;ROW('Списки блоков'!$V$3)),0),0)),"","ДК,")
</f>
        <v>Дизайн,Instagram,</v>
      </c>
      <c r="F39" s="4">
        <v>8.9161738399E10</v>
      </c>
      <c r="G39" s="5" t="s">
        <v>200</v>
      </c>
      <c r="H39" s="2" t="s">
        <v>201</v>
      </c>
      <c r="I39" s="2" t="s">
        <v>202</v>
      </c>
      <c r="J39" s="7" t="s">
        <v>22</v>
      </c>
    </row>
    <row r="40">
      <c r="A40" s="2" t="s">
        <v>203</v>
      </c>
      <c r="B40" s="2" t="str">
        <f t="shared" si="3"/>
        <v>Загатин Даниил</v>
      </c>
      <c r="C40" s="3">
        <v>417.0</v>
      </c>
      <c r="D40" s="2" t="s">
        <v>204</v>
      </c>
      <c r="E40" s="2" t="str">
        <f t="array" ref="E40">IF(ISERROR(MATCH(1,INDEX(('Списки блоков'!$B$2:$B986=B40)*(ROW('Списки блоков'!$B$2:$B986)&lt;&gt;ROW('Списки блоков'!$B$3)),0),0)),"","БДНС,")
&amp;IF(ISERROR(MATCH(1,INDEX(('Списки блоков'!$C$2:$C986=B40)*(ROW('Списки блоков'!$C$2:$C986)&lt;&gt;ROW('Списки блоков'!$C$3)),0),0)),"","Видеолаба,")
&amp;IF(ISERROR(MATCH(1,INDEX(('Списки блоков'!$D$2:$D986=B40)*(ROW('Списки блоков'!$D$2:$D986)&lt;&gt;ROW('Списки блоков'!$D$3)),0),0)),"","Декораторы,")
&amp;IF(ISERROR(MATCH(1,INDEX(('Списки блоков'!$E$2:$E986=B40)*(ROW('Списки блоков'!$E$2:$E986)&lt;&gt;ROW('Списки блоков'!$E$3)),0),0)),"","Дизайн,")
&amp;IF(ISERROR(MATCH(1,INDEX(('Списки блоков'!$F$2:$F986=B40)*(ROW('Списки блоков'!$F$2:$F986)&lt;&gt;ROW('Списки блоков'!$F$3)),0),0)),"","Досуг,")
&amp;IF(ISERROR(MATCH(1,INDEX(('Списки блоков'!$G$2:$G986=B40)*(ROW('Списки блоков'!$G$2:$G986)&lt;&gt;ROW('Списки блоков'!$G$3)),0),0)),"","Закупки,")
&amp;IF(ISERROR(MATCH(1,INDEX(('Списки блоков'!$H$2:$H986=B40)*(ROW('Списки блоков'!$H$2:$H986)&lt;&gt;ROW('Списки блоков'!$H$3)),0),0)),"","ИнфоБлок,")
&amp;IF(ISERROR(MATCH(1,INDEX(('Списки блоков'!$I$2:$I986=B40)*(ROW('Списки блоков'!$I$2:$I986)&lt;&gt;ROW('Списки блоков'!$I$3)),0),0)),"","КГ,")
&amp;IF(ISERROR(MATCH(1,INDEX(('Списки блоков'!$J$2:$J986=B40)*(ROW('Списки блоков'!$J$2:$J986)&lt;&gt;ROW('Списки блоков'!$J$3)),0),0)),"","МП,")
&amp;IF(ISERROR(MATCH(1,INDEX(('Списки блоков'!$K$2:$K986=B40)*(ROW('Списки блоков'!$K$2:$K986)&lt;&gt;ROW('Списки блоков'!$K$3)),0),0)),"","Профорги,")
&amp;IF(ISERROR(MATCH(1,INDEX(('Списки блоков'!$L$2:$L986=B40)*(ROW('Списки блоков'!$L$2:$L986)&lt;&gt;ROW('Списки блоков'!$L$3)),0),0)),"","Спонсоры,")
&amp;IF(ISERROR(MATCH(1,INDEX(('Списки блоков'!$M$2:$M986=B40)*(ROW('Списки блоков'!$M$2:$M986)&lt;&gt;ROW('Списки блоков'!$M$3)),0),0)),"","Склад,")
&amp;IF(ISERROR(MATCH(1,INDEX(('Списки блоков'!$N$2:$N986=B40)*(ROW('Списки блоков'!$N$2:$N986)&lt;&gt;ROW('Списки блоков'!$N$3)),0),0)),"","Сценаристы,")
&amp;IF(ISERROR(MATCH(1,INDEX(('Списки блоков'!$O$2:$O986=B40)*(ROW('Списки блоков'!$O$2:$O986)&lt;&gt;ROW('Списки блоков'!$O$3)),0),0)),"","Техники,")
&amp;IF(ISERROR(MATCH(1,INDEX(('Списки блоков'!$P$2:$P986=B40)*(ROW('Списки блоков'!$P$2:$P986)&lt;&gt;ROW('Списки блоков'!$P$3)),0),0)),"","УРС,")
&amp;IF(ISERROR(MATCH(1,INDEX(('Списки блоков'!$Q$2:$Q986=B40)*(ROW('Списки блоков'!$Q$2:$Q986)&lt;&gt;ROW('Списки блоков'!$Q$3)),0),0)),"","Фото,")
&amp;IF(ISERROR(MATCH(1,INDEX((#REF!=B40)*(ROW(#REF!)&lt;&gt;ROW(#REF!)),0),0)),"","ЭкоБлок,")
&amp;IF(ISERROR(MATCH(1,INDEX(('Списки блоков'!$R$2:$R986=B40)*(ROW('Списки блоков'!$R$2:$R986)&lt;&gt;ROW('Списки блоков'!$R$3)),0),0)),"","HR,")
&amp;IF(ISERROR(MATCH(1,INDEX(('Списки блоков'!$S$2:$S986=B40)*(ROW('Списки блоков'!$S$2:$S986)&lt;&gt;ROW('Списки блоков'!$S$3)),0),0)),"","Instagram,")
&amp;IF(ISERROR(MATCH(1,INDEX(('Списки блоков'!$T$2:$T986=B40)*(ROW('Списки блоков'!$T$2:$T986)&lt;&gt;ROW('Списки блоков'!$T$3)),0),0)),"","Zachёt,")
&amp;IF(ISERROR(MATCH(1,INDEX(('Списки блоков'!$U$2:$U986=B40)*(ROW('Списки блоков'!$U$2:$U986)&lt;&gt;ROW('Списки блоков'!$U$3)),0),0)),"","IT,")
&amp;IF(ISERROR(MATCH(1,INDEX(('Списки блоков'!$V$2:$V986=B40)*(ROW('Списки блоков'!$V$2:$V986)&lt;&gt;ROW('Списки блоков'!$V$3)),0),0)),"","ДК,")
</f>
        <v>БДНС,Декораторы,Дизайн,ИнфоБлок,Спонсоры,Склад,УРС,Zachёt,IT,</v>
      </c>
      <c r="F40" s="8">
        <v>8.9629692582E10</v>
      </c>
      <c r="G40" s="5" t="s">
        <v>205</v>
      </c>
      <c r="H40" s="5" t="s">
        <v>206</v>
      </c>
      <c r="I40" s="2" t="s">
        <v>207</v>
      </c>
      <c r="J40" s="7" t="s">
        <v>22</v>
      </c>
    </row>
    <row r="41">
      <c r="A41" s="10" t="s">
        <v>208</v>
      </c>
      <c r="B41" s="2" t="str">
        <f t="shared" si="3"/>
        <v>Зайцев Арсений</v>
      </c>
      <c r="C41" s="9">
        <v>105.0</v>
      </c>
      <c r="D41" s="10" t="s">
        <v>209</v>
      </c>
      <c r="E41" s="2" t="str">
        <f t="array" ref="E41">IF(ISERROR(MATCH(1,INDEX(('Списки блоков'!$B$2:$B986=B41)*(ROW('Списки блоков'!$B$2:$B986)&lt;&gt;ROW('Списки блоков'!$B$3)),0),0)),"","БДНС,")
&amp;IF(ISERROR(MATCH(1,INDEX(('Списки блоков'!$C$2:$C986=B41)*(ROW('Списки блоков'!$C$2:$C986)&lt;&gt;ROW('Списки блоков'!$C$3)),0),0)),"","Видеолаба,")
&amp;IF(ISERROR(MATCH(1,INDEX(('Списки блоков'!$D$2:$D986=B41)*(ROW('Списки блоков'!$D$2:$D986)&lt;&gt;ROW('Списки блоков'!$D$3)),0),0)),"","Декораторы,")
&amp;IF(ISERROR(MATCH(1,INDEX(('Списки блоков'!$E$2:$E986=B41)*(ROW('Списки блоков'!$E$2:$E986)&lt;&gt;ROW('Списки блоков'!$E$3)),0),0)),"","Дизайн,")
&amp;IF(ISERROR(MATCH(1,INDEX(('Списки блоков'!$F$2:$F986=B41)*(ROW('Списки блоков'!$F$2:$F986)&lt;&gt;ROW('Списки блоков'!$F$3)),0),0)),"","Досуг,")
&amp;IF(ISERROR(MATCH(1,INDEX(('Списки блоков'!$G$2:$G986=B41)*(ROW('Списки блоков'!$G$2:$G986)&lt;&gt;ROW('Списки блоков'!$G$3)),0),0)),"","Закупки,")
&amp;IF(ISERROR(MATCH(1,INDEX(('Списки блоков'!$H$2:$H986=B41)*(ROW('Списки блоков'!$H$2:$H986)&lt;&gt;ROW('Списки блоков'!$H$3)),0),0)),"","ИнфоБлок,")
&amp;IF(ISERROR(MATCH(1,INDEX(('Списки блоков'!$I$2:$I986=B41)*(ROW('Списки блоков'!$I$2:$I986)&lt;&gt;ROW('Списки блоков'!$I$3)),0),0)),"","КГ,")
&amp;IF(ISERROR(MATCH(1,INDEX(('Списки блоков'!$J$2:$J986=B41)*(ROW('Списки блоков'!$J$2:$J986)&lt;&gt;ROW('Списки блоков'!$J$3)),0),0)),"","МП,")
&amp;IF(ISERROR(MATCH(1,INDEX(('Списки блоков'!$K$2:$K986=B41)*(ROW('Списки блоков'!$K$2:$K986)&lt;&gt;ROW('Списки блоков'!$K$3)),0),0)),"","Профорги,")
&amp;IF(ISERROR(MATCH(1,INDEX(('Списки блоков'!$L$2:$L986=B41)*(ROW('Списки блоков'!$L$2:$L986)&lt;&gt;ROW('Списки блоков'!$L$3)),0),0)),"","Спонсоры,")
&amp;IF(ISERROR(MATCH(1,INDEX(('Списки блоков'!$M$2:$M986=B41)*(ROW('Списки блоков'!$M$2:$M986)&lt;&gt;ROW('Списки блоков'!$M$3)),0),0)),"","Склад,")
&amp;IF(ISERROR(MATCH(1,INDEX(('Списки блоков'!$N$2:$N986=B41)*(ROW('Списки блоков'!$N$2:$N986)&lt;&gt;ROW('Списки блоков'!$N$3)),0),0)),"","Сценаристы,")
&amp;IF(ISERROR(MATCH(1,INDEX(('Списки блоков'!$O$2:$O986=B41)*(ROW('Списки блоков'!$O$2:$O986)&lt;&gt;ROW('Списки блоков'!$O$3)),0),0)),"","Техники,")
&amp;IF(ISERROR(MATCH(1,INDEX(('Списки блоков'!$P$2:$P986=B41)*(ROW('Списки блоков'!$P$2:$P986)&lt;&gt;ROW('Списки блоков'!$P$3)),0),0)),"","УРС,")
&amp;IF(ISERROR(MATCH(1,INDEX(('Списки блоков'!$Q$2:$Q986=B41)*(ROW('Списки блоков'!$Q$2:$Q986)&lt;&gt;ROW('Списки блоков'!$Q$3)),0),0)),"","Фото,")
&amp;IF(ISERROR(MATCH(1,INDEX((#REF!=B41)*(ROW(#REF!)&lt;&gt;ROW(#REF!)),0),0)),"","ЭкоБлок,")
&amp;IF(ISERROR(MATCH(1,INDEX(('Списки блоков'!$R$2:$R986=B41)*(ROW('Списки блоков'!$R$2:$R986)&lt;&gt;ROW('Списки блоков'!$R$3)),0),0)),"","HR,")
&amp;IF(ISERROR(MATCH(1,INDEX(('Списки блоков'!$S$2:$S986=B41)*(ROW('Списки блоков'!$S$2:$S986)&lt;&gt;ROW('Списки блоков'!$S$3)),0),0)),"","Instagram,")
&amp;IF(ISERROR(MATCH(1,INDEX(('Списки блоков'!$T$2:$T986=B41)*(ROW('Списки блоков'!$T$2:$T986)&lt;&gt;ROW('Списки блоков'!$T$3)),0),0)),"","Zachёt,")
&amp;IF(ISERROR(MATCH(1,INDEX(('Списки блоков'!$U$2:$U986=B41)*(ROW('Списки блоков'!$U$2:$U986)&lt;&gt;ROW('Списки блоков'!$U$3)),0),0)),"","IT,")
&amp;IF(ISERROR(MATCH(1,INDEX(('Списки блоков'!$V$2:$V986=B41)*(ROW('Списки блоков'!$V$2:$V986)&lt;&gt;ROW('Списки блоков'!$V$3)),0),0)),"","ДК,")
</f>
        <v>Дизайн,</v>
      </c>
      <c r="F41" s="9">
        <v>8.9852049149E10</v>
      </c>
      <c r="G41" s="12" t="s">
        <v>210</v>
      </c>
      <c r="H41" s="12" t="s">
        <v>211</v>
      </c>
      <c r="I41" s="10" t="s">
        <v>212</v>
      </c>
      <c r="J41" s="6" t="s">
        <v>15</v>
      </c>
    </row>
    <row r="42">
      <c r="A42" s="6" t="s">
        <v>213</v>
      </c>
      <c r="B42" s="2" t="str">
        <f t="shared" si="3"/>
        <v>Зайцева Яна</v>
      </c>
      <c r="C42" s="9">
        <v>305.0</v>
      </c>
      <c r="D42" s="10" t="s">
        <v>214</v>
      </c>
      <c r="E42" s="2" t="str">
        <f t="array" ref="E42">IF(ISERROR(MATCH(1,INDEX(('Списки блоков'!$B$2:$B986=B42)*(ROW('Списки блоков'!$B$2:$B986)&lt;&gt;ROW('Списки блоков'!$B$3)),0),0)),"","БДНС,")
&amp;IF(ISERROR(MATCH(1,INDEX(('Списки блоков'!$C$2:$C986=B42)*(ROW('Списки блоков'!$C$2:$C986)&lt;&gt;ROW('Списки блоков'!$C$3)),0),0)),"","Видеолаба,")
&amp;IF(ISERROR(MATCH(1,INDEX(('Списки блоков'!$D$2:$D986=B42)*(ROW('Списки блоков'!$D$2:$D986)&lt;&gt;ROW('Списки блоков'!$D$3)),0),0)),"","Декораторы,")
&amp;IF(ISERROR(MATCH(1,INDEX(('Списки блоков'!$E$2:$E986=B42)*(ROW('Списки блоков'!$E$2:$E986)&lt;&gt;ROW('Списки блоков'!$E$3)),0),0)),"","Дизайн,")
&amp;IF(ISERROR(MATCH(1,INDEX(('Списки блоков'!$F$2:$F986=B42)*(ROW('Списки блоков'!$F$2:$F986)&lt;&gt;ROW('Списки блоков'!$F$3)),0),0)),"","Досуг,")
&amp;IF(ISERROR(MATCH(1,INDEX(('Списки блоков'!$G$2:$G986=B42)*(ROW('Списки блоков'!$G$2:$G986)&lt;&gt;ROW('Списки блоков'!$G$3)),0),0)),"","Закупки,")
&amp;IF(ISERROR(MATCH(1,INDEX(('Списки блоков'!$H$2:$H986=B42)*(ROW('Списки блоков'!$H$2:$H986)&lt;&gt;ROW('Списки блоков'!$H$3)),0),0)),"","ИнфоБлок,")
&amp;IF(ISERROR(MATCH(1,INDEX(('Списки блоков'!$I$2:$I986=B42)*(ROW('Списки блоков'!$I$2:$I986)&lt;&gt;ROW('Списки блоков'!$I$3)),0),0)),"","КГ,")
&amp;IF(ISERROR(MATCH(1,INDEX(('Списки блоков'!$J$2:$J986=B42)*(ROW('Списки блоков'!$J$2:$J986)&lt;&gt;ROW('Списки блоков'!$J$3)),0),0)),"","МП,")
&amp;IF(ISERROR(MATCH(1,INDEX(('Списки блоков'!$K$2:$K986=B42)*(ROW('Списки блоков'!$K$2:$K986)&lt;&gt;ROW('Списки блоков'!$K$3)),0),0)),"","Профорги,")
&amp;IF(ISERROR(MATCH(1,INDEX(('Списки блоков'!$L$2:$L986=B42)*(ROW('Списки блоков'!$L$2:$L986)&lt;&gt;ROW('Списки блоков'!$L$3)),0),0)),"","Спонсоры,")
&amp;IF(ISERROR(MATCH(1,INDEX(('Списки блоков'!$M$2:$M986=B42)*(ROW('Списки блоков'!$M$2:$M986)&lt;&gt;ROW('Списки блоков'!$M$3)),0),0)),"","Склад,")
&amp;IF(ISERROR(MATCH(1,INDEX(('Списки блоков'!$N$2:$N986=B42)*(ROW('Списки блоков'!$N$2:$N986)&lt;&gt;ROW('Списки блоков'!$N$3)),0),0)),"","Сценаристы,")
&amp;IF(ISERROR(MATCH(1,INDEX(('Списки блоков'!$O$2:$O986=B42)*(ROW('Списки блоков'!$O$2:$O986)&lt;&gt;ROW('Списки блоков'!$O$3)),0),0)),"","Техники,")
&amp;IF(ISERROR(MATCH(1,INDEX(('Списки блоков'!$P$2:$P986=B42)*(ROW('Списки блоков'!$P$2:$P986)&lt;&gt;ROW('Списки блоков'!$P$3)),0),0)),"","УРС,")
&amp;IF(ISERROR(MATCH(1,INDEX(('Списки блоков'!$Q$2:$Q986=B42)*(ROW('Списки блоков'!$Q$2:$Q986)&lt;&gt;ROW('Списки блоков'!$Q$3)),0),0)),"","Фото,")
&amp;IF(ISERROR(MATCH(1,INDEX((#REF!=B42)*(ROW(#REF!)&lt;&gt;ROW(#REF!)),0),0)),"","ЭкоБлок,")
&amp;IF(ISERROR(MATCH(1,INDEX(('Списки блоков'!$R$2:$R986=B42)*(ROW('Списки блоков'!$R$2:$R986)&lt;&gt;ROW('Списки блоков'!$R$3)),0),0)),"","HR,")
&amp;IF(ISERROR(MATCH(1,INDEX(('Списки блоков'!$S$2:$S986=B42)*(ROW('Списки блоков'!$S$2:$S986)&lt;&gt;ROW('Списки блоков'!$S$3)),0),0)),"","Instagram,")
&amp;IF(ISERROR(MATCH(1,INDEX(('Списки блоков'!$T$2:$T986=B42)*(ROW('Списки блоков'!$T$2:$T986)&lt;&gt;ROW('Списки блоков'!$T$3)),0),0)),"","Zachёt,")
&amp;IF(ISERROR(MATCH(1,INDEX(('Списки блоков'!$U$2:$U986=B42)*(ROW('Списки блоков'!$U$2:$U986)&lt;&gt;ROW('Списки блоков'!$U$3)),0),0)),"","IT,")
&amp;IF(ISERROR(MATCH(1,INDEX(('Списки блоков'!$V$2:$V986=B42)*(ROW('Списки блоков'!$V$2:$V986)&lt;&gt;ROW('Списки блоков'!$V$3)),0),0)),"","ДК,")
</f>
        <v>Фото,</v>
      </c>
      <c r="F42" s="14">
        <v>8.9161878586E10</v>
      </c>
      <c r="G42" s="12" t="s">
        <v>215</v>
      </c>
      <c r="H42" s="10" t="s">
        <v>216</v>
      </c>
      <c r="I42" s="10" t="s">
        <v>217</v>
      </c>
      <c r="J42" s="6" t="s">
        <v>15</v>
      </c>
    </row>
    <row r="43">
      <c r="A43" s="7" t="s">
        <v>218</v>
      </c>
      <c r="B43" s="2" t="str">
        <f t="shared" si="3"/>
        <v>Захаркина Юлия</v>
      </c>
      <c r="C43" s="3">
        <v>141.0</v>
      </c>
      <c r="D43" s="2" t="s">
        <v>219</v>
      </c>
      <c r="E43" s="2" t="str">
        <f t="array" ref="E43">IF(ISERROR(MATCH(1,INDEX(('Списки блоков'!$B$2:$B986=B43)*(ROW('Списки блоков'!$B$2:$B986)&lt;&gt;ROW('Списки блоков'!$B$3)),0),0)),"","БДНС,")
&amp;IF(ISERROR(MATCH(1,INDEX(('Списки блоков'!$C$2:$C986=B43)*(ROW('Списки блоков'!$C$2:$C986)&lt;&gt;ROW('Списки блоков'!$C$3)),0),0)),"","Видеолаба,")
&amp;IF(ISERROR(MATCH(1,INDEX(('Списки блоков'!$D$2:$D986=B43)*(ROW('Списки блоков'!$D$2:$D986)&lt;&gt;ROW('Списки блоков'!$D$3)),0),0)),"","Декораторы,")
&amp;IF(ISERROR(MATCH(1,INDEX(('Списки блоков'!$E$2:$E986=B43)*(ROW('Списки блоков'!$E$2:$E986)&lt;&gt;ROW('Списки блоков'!$E$3)),0),0)),"","Дизайн,")
&amp;IF(ISERROR(MATCH(1,INDEX(('Списки блоков'!$F$2:$F986=B43)*(ROW('Списки блоков'!$F$2:$F986)&lt;&gt;ROW('Списки блоков'!$F$3)),0),0)),"","Досуг,")
&amp;IF(ISERROR(MATCH(1,INDEX(('Списки блоков'!$G$2:$G986=B43)*(ROW('Списки блоков'!$G$2:$G986)&lt;&gt;ROW('Списки блоков'!$G$3)),0),0)),"","Закупки,")
&amp;IF(ISERROR(MATCH(1,INDEX(('Списки блоков'!$H$2:$H986=B43)*(ROW('Списки блоков'!$H$2:$H986)&lt;&gt;ROW('Списки блоков'!$H$3)),0),0)),"","ИнфоБлок,")
&amp;IF(ISERROR(MATCH(1,INDEX(('Списки блоков'!$I$2:$I986=B43)*(ROW('Списки блоков'!$I$2:$I986)&lt;&gt;ROW('Списки блоков'!$I$3)),0),0)),"","КГ,")
&amp;IF(ISERROR(MATCH(1,INDEX(('Списки блоков'!$J$2:$J986=B43)*(ROW('Списки блоков'!$J$2:$J986)&lt;&gt;ROW('Списки блоков'!$J$3)),0),0)),"","МП,")
&amp;IF(ISERROR(MATCH(1,INDEX(('Списки блоков'!$K$2:$K986=B43)*(ROW('Списки блоков'!$K$2:$K986)&lt;&gt;ROW('Списки блоков'!$K$3)),0),0)),"","Профорги,")
&amp;IF(ISERROR(MATCH(1,INDEX(('Списки блоков'!$L$2:$L986=B43)*(ROW('Списки блоков'!$L$2:$L986)&lt;&gt;ROW('Списки блоков'!$L$3)),0),0)),"","Спонсоры,")
&amp;IF(ISERROR(MATCH(1,INDEX(('Списки блоков'!$M$2:$M986=B43)*(ROW('Списки блоков'!$M$2:$M986)&lt;&gt;ROW('Списки блоков'!$M$3)),0),0)),"","Склад,")
&amp;IF(ISERROR(MATCH(1,INDEX(('Списки блоков'!$N$2:$N986=B43)*(ROW('Списки блоков'!$N$2:$N986)&lt;&gt;ROW('Списки блоков'!$N$3)),0),0)),"","Сценаристы,")
&amp;IF(ISERROR(MATCH(1,INDEX(('Списки блоков'!$O$2:$O986=B43)*(ROW('Списки блоков'!$O$2:$O986)&lt;&gt;ROW('Списки блоков'!$O$3)),0),0)),"","Техники,")
&amp;IF(ISERROR(MATCH(1,INDEX(('Списки блоков'!$P$2:$P986=B43)*(ROW('Списки блоков'!$P$2:$P986)&lt;&gt;ROW('Списки блоков'!$P$3)),0),0)),"","УРС,")
&amp;IF(ISERROR(MATCH(1,INDEX(('Списки блоков'!$Q$2:$Q986=B43)*(ROW('Списки блоков'!$Q$2:$Q986)&lt;&gt;ROW('Списки блоков'!$Q$3)),0),0)),"","Фото,")
&amp;IF(ISERROR(MATCH(1,INDEX((#REF!=B43)*(ROW(#REF!)&lt;&gt;ROW(#REF!)),0),0)),"","ЭкоБлок,")
&amp;IF(ISERROR(MATCH(1,INDEX(('Списки блоков'!$R$2:$R986=B43)*(ROW('Списки блоков'!$R$2:$R986)&lt;&gt;ROW('Списки блоков'!$R$3)),0),0)),"","HR,")
&amp;IF(ISERROR(MATCH(1,INDEX(('Списки блоков'!$S$2:$S986=B43)*(ROW('Списки блоков'!$S$2:$S986)&lt;&gt;ROW('Списки блоков'!$S$3)),0),0)),"","Instagram,")
&amp;IF(ISERROR(MATCH(1,INDEX(('Списки блоков'!$T$2:$T986=B43)*(ROW('Списки блоков'!$T$2:$T986)&lt;&gt;ROW('Списки блоков'!$T$3)),0),0)),"","Zachёt,")
&amp;IF(ISERROR(MATCH(1,INDEX(('Списки блоков'!$U$2:$U986=B43)*(ROW('Списки блоков'!$U$2:$U986)&lt;&gt;ROW('Списки блоков'!$U$3)),0),0)),"","IT,")
&amp;IF(ISERROR(MATCH(1,INDEX(('Списки блоков'!$V$2:$V986=B43)*(ROW('Списки блоков'!$V$2:$V986)&lt;&gt;ROW('Списки блоков'!$V$3)),0),0)),"","ДК,")
</f>
        <v>БДНС,КГ,Склад,Сценаристы,УРС,HR,</v>
      </c>
      <c r="F43" s="4">
        <v>8.9854452017E10</v>
      </c>
      <c r="G43" s="5" t="s">
        <v>220</v>
      </c>
      <c r="H43" s="2" t="s">
        <v>221</v>
      </c>
      <c r="I43" s="2" t="s">
        <v>222</v>
      </c>
      <c r="J43" s="7" t="s">
        <v>22</v>
      </c>
    </row>
    <row r="44">
      <c r="A44" s="2" t="s">
        <v>223</v>
      </c>
      <c r="B44" s="2" t="str">
        <f t="shared" si="3"/>
        <v>Зорин Михаил</v>
      </c>
      <c r="C44" s="3">
        <v>102.0</v>
      </c>
      <c r="D44" s="2" t="s">
        <v>224</v>
      </c>
      <c r="E44" s="2" t="str">
        <f t="array" ref="E44">IF(ISERROR(MATCH(1,INDEX(('Списки блоков'!$B$2:$B986=B44)*(ROW('Списки блоков'!$B$2:$B986)&lt;&gt;ROW('Списки блоков'!$B$3)),0),0)),"","БДНС,")
&amp;IF(ISERROR(MATCH(1,INDEX(('Списки блоков'!$C$2:$C986=B44)*(ROW('Списки блоков'!$C$2:$C986)&lt;&gt;ROW('Списки блоков'!$C$3)),0),0)),"","Видеолаба,")
&amp;IF(ISERROR(MATCH(1,INDEX(('Списки блоков'!$D$2:$D986=B44)*(ROW('Списки блоков'!$D$2:$D986)&lt;&gt;ROW('Списки блоков'!$D$3)),0),0)),"","Декораторы,")
&amp;IF(ISERROR(MATCH(1,INDEX(('Списки блоков'!$E$2:$E986=B44)*(ROW('Списки блоков'!$E$2:$E986)&lt;&gt;ROW('Списки блоков'!$E$3)),0),0)),"","Дизайн,")
&amp;IF(ISERROR(MATCH(1,INDEX(('Списки блоков'!$F$2:$F986=B44)*(ROW('Списки блоков'!$F$2:$F986)&lt;&gt;ROW('Списки блоков'!$F$3)),0),0)),"","Досуг,")
&amp;IF(ISERROR(MATCH(1,INDEX(('Списки блоков'!$G$2:$G986=B44)*(ROW('Списки блоков'!$G$2:$G986)&lt;&gt;ROW('Списки блоков'!$G$3)),0),0)),"","Закупки,")
&amp;IF(ISERROR(MATCH(1,INDEX(('Списки блоков'!$H$2:$H986=B44)*(ROW('Списки блоков'!$H$2:$H986)&lt;&gt;ROW('Списки блоков'!$H$3)),0),0)),"","ИнфоБлок,")
&amp;IF(ISERROR(MATCH(1,INDEX(('Списки блоков'!$I$2:$I986=B44)*(ROW('Списки блоков'!$I$2:$I986)&lt;&gt;ROW('Списки блоков'!$I$3)),0),0)),"","КГ,")
&amp;IF(ISERROR(MATCH(1,INDEX(('Списки блоков'!$J$2:$J986=B44)*(ROW('Списки блоков'!$J$2:$J986)&lt;&gt;ROW('Списки блоков'!$J$3)),0),0)),"","МП,")
&amp;IF(ISERROR(MATCH(1,INDEX(('Списки блоков'!$K$2:$K986=B44)*(ROW('Списки блоков'!$K$2:$K986)&lt;&gt;ROW('Списки блоков'!$K$3)),0),0)),"","Профорги,")
&amp;IF(ISERROR(MATCH(1,INDEX(('Списки блоков'!$L$2:$L986=B44)*(ROW('Списки блоков'!$L$2:$L986)&lt;&gt;ROW('Списки блоков'!$L$3)),0),0)),"","Спонсоры,")
&amp;IF(ISERROR(MATCH(1,INDEX(('Списки блоков'!$M$2:$M986=B44)*(ROW('Списки блоков'!$M$2:$M986)&lt;&gt;ROW('Списки блоков'!$M$3)),0),0)),"","Склад,")
&amp;IF(ISERROR(MATCH(1,INDEX(('Списки блоков'!$N$2:$N986=B44)*(ROW('Списки блоков'!$N$2:$N986)&lt;&gt;ROW('Списки блоков'!$N$3)),0),0)),"","Сценаристы,")
&amp;IF(ISERROR(MATCH(1,INDEX(('Списки блоков'!$O$2:$O986=B44)*(ROW('Списки блоков'!$O$2:$O986)&lt;&gt;ROW('Списки блоков'!$O$3)),0),0)),"","Техники,")
&amp;IF(ISERROR(MATCH(1,INDEX(('Списки блоков'!$P$2:$P986=B44)*(ROW('Списки блоков'!$P$2:$P986)&lt;&gt;ROW('Списки блоков'!$P$3)),0),0)),"","УРС,")
&amp;IF(ISERROR(MATCH(1,INDEX(('Списки блоков'!$Q$2:$Q986=B44)*(ROW('Списки блоков'!$Q$2:$Q986)&lt;&gt;ROW('Списки блоков'!$Q$3)),0),0)),"","Фото,")
&amp;IF(ISERROR(MATCH(1,INDEX((#REF!=B44)*(ROW(#REF!)&lt;&gt;ROW(#REF!)),0),0)),"","ЭкоБлок,")
&amp;IF(ISERROR(MATCH(1,INDEX(('Списки блоков'!$R$2:$R986=B44)*(ROW('Списки блоков'!$R$2:$R986)&lt;&gt;ROW('Списки блоков'!$R$3)),0),0)),"","HR,")
&amp;IF(ISERROR(MATCH(1,INDEX(('Списки блоков'!$S$2:$S986=B44)*(ROW('Списки блоков'!$S$2:$S986)&lt;&gt;ROW('Списки блоков'!$S$3)),0),0)),"","Instagram,")
&amp;IF(ISERROR(MATCH(1,INDEX(('Списки блоков'!$T$2:$T986=B44)*(ROW('Списки блоков'!$T$2:$T986)&lt;&gt;ROW('Списки блоков'!$T$3)),0),0)),"","Zachёt,")
&amp;IF(ISERROR(MATCH(1,INDEX(('Списки блоков'!$U$2:$U986=B44)*(ROW('Списки блоков'!$U$2:$U986)&lt;&gt;ROW('Списки блоков'!$U$3)),0),0)),"","IT,")
&amp;IF(ISERROR(MATCH(1,INDEX(('Списки блоков'!$V$2:$V986=B44)*(ROW('Списки блоков'!$V$2:$V986)&lt;&gt;ROW('Списки блоков'!$V$3)),0),0)),"","ДК,")
</f>
        <v>Видеолаба,Техники,</v>
      </c>
      <c r="F44" s="8">
        <v>8.95866414E10</v>
      </c>
      <c r="G44" s="5" t="s">
        <v>225</v>
      </c>
      <c r="H44" s="5" t="s">
        <v>226</v>
      </c>
      <c r="I44" s="2" t="s">
        <v>227</v>
      </c>
      <c r="J44" s="7" t="s">
        <v>22</v>
      </c>
    </row>
    <row r="45">
      <c r="A45" s="6" t="s">
        <v>228</v>
      </c>
      <c r="B45" s="2" t="str">
        <f t="shared" si="3"/>
        <v>Игинашева Вероника</v>
      </c>
      <c r="C45" s="9">
        <v>113.0</v>
      </c>
      <c r="D45" s="10" t="s">
        <v>50</v>
      </c>
      <c r="E45" s="2" t="str">
        <f t="array" ref="E45">IF(ISERROR(MATCH(1,INDEX(('Списки блоков'!$B$2:$B986=B45)*(ROW('Списки блоков'!$B$2:$B986)&lt;&gt;ROW('Списки блоков'!$B$3)),0),0)),"","БДНС,")
&amp;IF(ISERROR(MATCH(1,INDEX(('Списки блоков'!$C$2:$C986=B45)*(ROW('Списки блоков'!$C$2:$C986)&lt;&gt;ROW('Списки блоков'!$C$3)),0),0)),"","Видеолаба,")
&amp;IF(ISERROR(MATCH(1,INDEX(('Списки блоков'!$D$2:$D986=B45)*(ROW('Списки блоков'!$D$2:$D986)&lt;&gt;ROW('Списки блоков'!$D$3)),0),0)),"","Декораторы,")
&amp;IF(ISERROR(MATCH(1,INDEX(('Списки блоков'!$E$2:$E986=B45)*(ROW('Списки блоков'!$E$2:$E986)&lt;&gt;ROW('Списки блоков'!$E$3)),0),0)),"","Дизайн,")
&amp;IF(ISERROR(MATCH(1,INDEX(('Списки блоков'!$F$2:$F986=B45)*(ROW('Списки блоков'!$F$2:$F986)&lt;&gt;ROW('Списки блоков'!$F$3)),0),0)),"","Досуг,")
&amp;IF(ISERROR(MATCH(1,INDEX(('Списки блоков'!$G$2:$G986=B45)*(ROW('Списки блоков'!$G$2:$G986)&lt;&gt;ROW('Списки блоков'!$G$3)),0),0)),"","Закупки,")
&amp;IF(ISERROR(MATCH(1,INDEX(('Списки блоков'!$H$2:$H986=B45)*(ROW('Списки блоков'!$H$2:$H986)&lt;&gt;ROW('Списки блоков'!$H$3)),0),0)),"","ИнфоБлок,")
&amp;IF(ISERROR(MATCH(1,INDEX(('Списки блоков'!$I$2:$I986=B45)*(ROW('Списки блоков'!$I$2:$I986)&lt;&gt;ROW('Списки блоков'!$I$3)),0),0)),"","КГ,")
&amp;IF(ISERROR(MATCH(1,INDEX(('Списки блоков'!$J$2:$J986=B45)*(ROW('Списки блоков'!$J$2:$J986)&lt;&gt;ROW('Списки блоков'!$J$3)),0),0)),"","МП,")
&amp;IF(ISERROR(MATCH(1,INDEX(('Списки блоков'!$K$2:$K986=B45)*(ROW('Списки блоков'!$K$2:$K986)&lt;&gt;ROW('Списки блоков'!$K$3)),0),0)),"","Профорги,")
&amp;IF(ISERROR(MATCH(1,INDEX(('Списки блоков'!$L$2:$L986=B45)*(ROW('Списки блоков'!$L$2:$L986)&lt;&gt;ROW('Списки блоков'!$L$3)),0),0)),"","Спонсоры,")
&amp;IF(ISERROR(MATCH(1,INDEX(('Списки блоков'!$M$2:$M986=B45)*(ROW('Списки блоков'!$M$2:$M986)&lt;&gt;ROW('Списки блоков'!$M$3)),0),0)),"","Склад,")
&amp;IF(ISERROR(MATCH(1,INDEX(('Списки блоков'!$N$2:$N986=B45)*(ROW('Списки блоков'!$N$2:$N986)&lt;&gt;ROW('Списки блоков'!$N$3)),0),0)),"","Сценаристы,")
&amp;IF(ISERROR(MATCH(1,INDEX(('Списки блоков'!$O$2:$O986=B45)*(ROW('Списки блоков'!$O$2:$O986)&lt;&gt;ROW('Списки блоков'!$O$3)),0),0)),"","Техники,")
&amp;IF(ISERROR(MATCH(1,INDEX(('Списки блоков'!$P$2:$P986=B45)*(ROW('Списки блоков'!$P$2:$P986)&lt;&gt;ROW('Списки блоков'!$P$3)),0),0)),"","УРС,")
&amp;IF(ISERROR(MATCH(1,INDEX(('Списки блоков'!$Q$2:$Q986=B45)*(ROW('Списки блоков'!$Q$2:$Q986)&lt;&gt;ROW('Списки блоков'!$Q$3)),0),0)),"","Фото,")
&amp;IF(ISERROR(MATCH(1,INDEX((#REF!=B45)*(ROW(#REF!)&lt;&gt;ROW(#REF!)),0),0)),"","ЭкоБлок,")
&amp;IF(ISERROR(MATCH(1,INDEX(('Списки блоков'!$R$2:$R986=B45)*(ROW('Списки блоков'!$R$2:$R986)&lt;&gt;ROW('Списки блоков'!$R$3)),0),0)),"","HR,")
&amp;IF(ISERROR(MATCH(1,INDEX(('Списки блоков'!$S$2:$S986=B45)*(ROW('Списки блоков'!$S$2:$S986)&lt;&gt;ROW('Списки блоков'!$S$3)),0),0)),"","Instagram,")
&amp;IF(ISERROR(MATCH(1,INDEX(('Списки блоков'!$T$2:$T986=B45)*(ROW('Списки блоков'!$T$2:$T986)&lt;&gt;ROW('Списки блоков'!$T$3)),0),0)),"","Zachёt,")
&amp;IF(ISERROR(MATCH(1,INDEX(('Списки блоков'!$U$2:$U986=B45)*(ROW('Списки блоков'!$U$2:$U986)&lt;&gt;ROW('Списки блоков'!$U$3)),0),0)),"","IT,")
&amp;IF(ISERROR(MATCH(1,INDEX(('Списки блоков'!$V$2:$V986=B45)*(ROW('Списки блоков'!$V$2:$V986)&lt;&gt;ROW('Списки блоков'!$V$3)),0),0)),"","ДК,")
</f>
        <v>БДНС,Профорги,Техники,Фото,Zachёt,</v>
      </c>
      <c r="F45" s="14">
        <v>8.9870515571E10</v>
      </c>
      <c r="G45" s="12" t="s">
        <v>229</v>
      </c>
      <c r="H45" s="10" t="s">
        <v>230</v>
      </c>
      <c r="I45" s="10" t="s">
        <v>231</v>
      </c>
      <c r="J45" s="6" t="s">
        <v>22</v>
      </c>
    </row>
    <row r="46">
      <c r="A46" s="7" t="s">
        <v>232</v>
      </c>
      <c r="B46" s="7" t="s">
        <v>233</v>
      </c>
      <c r="C46" s="3">
        <v>104.0</v>
      </c>
      <c r="D46" s="2" t="s">
        <v>234</v>
      </c>
      <c r="E46" s="2" t="str">
        <f t="array" ref="E46">IF(ISERROR(MATCH(1,INDEX(('Списки блоков'!$B$2:$B986=B46)*(ROW('Списки блоков'!$B$2:$B986)&lt;&gt;ROW('Списки блоков'!$B$3)),0),0)),"","БДНС,")
&amp;IF(ISERROR(MATCH(1,INDEX(('Списки блоков'!$C$2:$C986=B46)*(ROW('Списки блоков'!$C$2:$C986)&lt;&gt;ROW('Списки блоков'!$C$3)),0),0)),"","Видеолаба,")
&amp;IF(ISERROR(MATCH(1,INDEX(('Списки блоков'!$D$2:$D986=B46)*(ROW('Списки блоков'!$D$2:$D986)&lt;&gt;ROW('Списки блоков'!$D$3)),0),0)),"","Декораторы,")
&amp;IF(ISERROR(MATCH(1,INDEX(('Списки блоков'!$E$2:$E986=B46)*(ROW('Списки блоков'!$E$2:$E986)&lt;&gt;ROW('Списки блоков'!$E$3)),0),0)),"","Дизайн,")
&amp;IF(ISERROR(MATCH(1,INDEX(('Списки блоков'!$F$2:$F986=B46)*(ROW('Списки блоков'!$F$2:$F986)&lt;&gt;ROW('Списки блоков'!$F$3)),0),0)),"","Досуг,")
&amp;IF(ISERROR(MATCH(1,INDEX(('Списки блоков'!$G$2:$G986=B46)*(ROW('Списки блоков'!$G$2:$G986)&lt;&gt;ROW('Списки блоков'!$G$3)),0),0)),"","Закупки,")
&amp;IF(ISERROR(MATCH(1,INDEX(('Списки блоков'!$H$2:$H986=B46)*(ROW('Списки блоков'!$H$2:$H986)&lt;&gt;ROW('Списки блоков'!$H$3)),0),0)),"","ИнфоБлок,")
&amp;IF(ISERROR(MATCH(1,INDEX(('Списки блоков'!$I$2:$I986=B46)*(ROW('Списки блоков'!$I$2:$I986)&lt;&gt;ROW('Списки блоков'!$I$3)),0),0)),"","КГ,")
&amp;IF(ISERROR(MATCH(1,INDEX(('Списки блоков'!$J$2:$J986=B46)*(ROW('Списки блоков'!$J$2:$J986)&lt;&gt;ROW('Списки блоков'!$J$3)),0),0)),"","МП,")
&amp;IF(ISERROR(MATCH(1,INDEX(('Списки блоков'!$K$2:$K986=B46)*(ROW('Списки блоков'!$K$2:$K986)&lt;&gt;ROW('Списки блоков'!$K$3)),0),0)),"","Профорги,")
&amp;IF(ISERROR(MATCH(1,INDEX(('Списки блоков'!$L$2:$L986=B46)*(ROW('Списки блоков'!$L$2:$L986)&lt;&gt;ROW('Списки блоков'!$L$3)),0),0)),"","Спонсоры,")
&amp;IF(ISERROR(MATCH(1,INDEX(('Списки блоков'!$M$2:$M986=B46)*(ROW('Списки блоков'!$M$2:$M986)&lt;&gt;ROW('Списки блоков'!$M$3)),0),0)),"","Склад,")
&amp;IF(ISERROR(MATCH(1,INDEX(('Списки блоков'!$N$2:$N986=B46)*(ROW('Списки блоков'!$N$2:$N986)&lt;&gt;ROW('Списки блоков'!$N$3)),0),0)),"","Сценаристы,")
&amp;IF(ISERROR(MATCH(1,INDEX(('Списки блоков'!$O$2:$O986=B46)*(ROW('Списки блоков'!$O$2:$O986)&lt;&gt;ROW('Списки блоков'!$O$3)),0),0)),"","Техники,")
&amp;IF(ISERROR(MATCH(1,INDEX(('Списки блоков'!$P$2:$P986=B46)*(ROW('Списки блоков'!$P$2:$P986)&lt;&gt;ROW('Списки блоков'!$P$3)),0),0)),"","УРС,")
&amp;IF(ISERROR(MATCH(1,INDEX(('Списки блоков'!$Q$2:$Q986=B46)*(ROW('Списки блоков'!$Q$2:$Q986)&lt;&gt;ROW('Списки блоков'!$Q$3)),0),0)),"","Фото,")
&amp;IF(ISERROR(MATCH(1,INDEX((#REF!=B46)*(ROW(#REF!)&lt;&gt;ROW(#REF!)),0),0)),"","ЭкоБлок,")
&amp;IF(ISERROR(MATCH(1,INDEX(('Списки блоков'!$R$2:$R986=B46)*(ROW('Списки блоков'!$R$2:$R986)&lt;&gt;ROW('Списки блоков'!$R$3)),0),0)),"","HR,")
&amp;IF(ISERROR(MATCH(1,INDEX(('Списки блоков'!$S$2:$S986=B46)*(ROW('Списки блоков'!$S$2:$S986)&lt;&gt;ROW('Списки блоков'!$S$3)),0),0)),"","Instagram,")
&amp;IF(ISERROR(MATCH(1,INDEX(('Списки блоков'!$T$2:$T986=B46)*(ROW('Списки блоков'!$T$2:$T986)&lt;&gt;ROW('Списки блоков'!$T$3)),0),0)),"","Zachёt,")
&amp;IF(ISERROR(MATCH(1,INDEX(('Списки блоков'!$U$2:$U986=B46)*(ROW('Списки блоков'!$U$2:$U986)&lt;&gt;ROW('Списки блоков'!$U$3)),0),0)),"","IT,")
&amp;IF(ISERROR(MATCH(1,INDEX(('Списки блоков'!$V$2:$V986=B46)*(ROW('Списки блоков'!$V$2:$V986)&lt;&gt;ROW('Списки блоков'!$V$3)),0),0)),"","ДК,")
</f>
        <v>ДК,</v>
      </c>
      <c r="F46" s="8">
        <v>8.9961669068E10</v>
      </c>
      <c r="G46" s="5" t="s">
        <v>235</v>
      </c>
      <c r="H46" s="2" t="s">
        <v>236</v>
      </c>
      <c r="I46" s="2" t="s">
        <v>237</v>
      </c>
      <c r="J46" s="7" t="s">
        <v>22</v>
      </c>
    </row>
    <row r="47">
      <c r="A47" s="2" t="s">
        <v>238</v>
      </c>
      <c r="B47" s="2" t="str">
        <f t="shared" ref="B47:B63" si="4">LEFT(A47,FIND(CHAR(160),SUBSTITUTE(A47," ",CHAR(160),2)) - 1)</f>
        <v>Казарян Тигран</v>
      </c>
      <c r="C47" s="3">
        <v>208.0</v>
      </c>
      <c r="D47" s="2" t="s">
        <v>50</v>
      </c>
      <c r="E47" s="2" t="str">
        <f t="array" ref="E47">IF(ISERROR(MATCH(1,INDEX(('Списки блоков'!$B$2:$B986=B47)*(ROW('Списки блоков'!$B$2:$B986)&lt;&gt;ROW('Списки блоков'!$B$3)),0),0)),"","БДНС,")
&amp;IF(ISERROR(MATCH(1,INDEX(('Списки блоков'!$C$2:$C986=B47)*(ROW('Списки блоков'!$C$2:$C986)&lt;&gt;ROW('Списки блоков'!$C$3)),0),0)),"","Видеолаба,")
&amp;IF(ISERROR(MATCH(1,INDEX(('Списки блоков'!$D$2:$D986=B47)*(ROW('Списки блоков'!$D$2:$D986)&lt;&gt;ROW('Списки блоков'!$D$3)),0),0)),"","Декораторы,")
&amp;IF(ISERROR(MATCH(1,INDEX(('Списки блоков'!$E$2:$E986=B47)*(ROW('Списки блоков'!$E$2:$E986)&lt;&gt;ROW('Списки блоков'!$E$3)),0),0)),"","Дизайн,")
&amp;IF(ISERROR(MATCH(1,INDEX(('Списки блоков'!$F$2:$F986=B47)*(ROW('Списки блоков'!$F$2:$F986)&lt;&gt;ROW('Списки блоков'!$F$3)),0),0)),"","Досуг,")
&amp;IF(ISERROR(MATCH(1,INDEX(('Списки блоков'!$G$2:$G986=B47)*(ROW('Списки блоков'!$G$2:$G986)&lt;&gt;ROW('Списки блоков'!$G$3)),0),0)),"","Закупки,")
&amp;IF(ISERROR(MATCH(1,INDEX(('Списки блоков'!$H$2:$H986=B47)*(ROW('Списки блоков'!$H$2:$H986)&lt;&gt;ROW('Списки блоков'!$H$3)),0),0)),"","ИнфоБлок,")
&amp;IF(ISERROR(MATCH(1,INDEX(('Списки блоков'!$I$2:$I986=B47)*(ROW('Списки блоков'!$I$2:$I986)&lt;&gt;ROW('Списки блоков'!$I$3)),0),0)),"","КГ,")
&amp;IF(ISERROR(MATCH(1,INDEX(('Списки блоков'!$J$2:$J986=B47)*(ROW('Списки блоков'!$J$2:$J986)&lt;&gt;ROW('Списки блоков'!$J$3)),0),0)),"","МП,")
&amp;IF(ISERROR(MATCH(1,INDEX(('Списки блоков'!$K$2:$K986=B47)*(ROW('Списки блоков'!$K$2:$K986)&lt;&gt;ROW('Списки блоков'!$K$3)),0),0)),"","Профорги,")
&amp;IF(ISERROR(MATCH(1,INDEX(('Списки блоков'!$L$2:$L986=B47)*(ROW('Списки блоков'!$L$2:$L986)&lt;&gt;ROW('Списки блоков'!$L$3)),0),0)),"","Спонсоры,")
&amp;IF(ISERROR(MATCH(1,INDEX(('Списки блоков'!$M$2:$M986=B47)*(ROW('Списки блоков'!$M$2:$M986)&lt;&gt;ROW('Списки блоков'!$M$3)),0),0)),"","Склад,")
&amp;IF(ISERROR(MATCH(1,INDEX(('Списки блоков'!$N$2:$N986=B47)*(ROW('Списки блоков'!$N$2:$N986)&lt;&gt;ROW('Списки блоков'!$N$3)),0),0)),"","Сценаристы,")
&amp;IF(ISERROR(MATCH(1,INDEX(('Списки блоков'!$O$2:$O986=B47)*(ROW('Списки блоков'!$O$2:$O986)&lt;&gt;ROW('Списки блоков'!$O$3)),0),0)),"","Техники,")
&amp;IF(ISERROR(MATCH(1,INDEX(('Списки блоков'!$P$2:$P986=B47)*(ROW('Списки блоков'!$P$2:$P986)&lt;&gt;ROW('Списки блоков'!$P$3)),0),0)),"","УРС,")
&amp;IF(ISERROR(MATCH(1,INDEX(('Списки блоков'!$Q$2:$Q986=B47)*(ROW('Списки блоков'!$Q$2:$Q986)&lt;&gt;ROW('Списки блоков'!$Q$3)),0),0)),"","Фото,")
&amp;IF(ISERROR(MATCH(1,INDEX((#REF!=B47)*(ROW(#REF!)&lt;&gt;ROW(#REF!)),0),0)),"","ЭкоБлок,")
&amp;IF(ISERROR(MATCH(1,INDEX(('Списки блоков'!$R$2:$R986=B47)*(ROW('Списки блоков'!$R$2:$R986)&lt;&gt;ROW('Списки блоков'!$R$3)),0),0)),"","HR,")
&amp;IF(ISERROR(MATCH(1,INDEX(('Списки блоков'!$S$2:$S986=B47)*(ROW('Списки блоков'!$S$2:$S986)&lt;&gt;ROW('Списки блоков'!$S$3)),0),0)),"","Instagram,")
&amp;IF(ISERROR(MATCH(1,INDEX(('Списки блоков'!$T$2:$T986=B47)*(ROW('Списки блоков'!$T$2:$T986)&lt;&gt;ROW('Списки блоков'!$T$3)),0),0)),"","Zachёt,")
&amp;IF(ISERROR(MATCH(1,INDEX(('Списки блоков'!$U$2:$U986=B47)*(ROW('Списки блоков'!$U$2:$U986)&lt;&gt;ROW('Списки блоков'!$U$3)),0),0)),"","IT,")
&amp;IF(ISERROR(MATCH(1,INDEX(('Списки блоков'!$V$2:$V986=B47)*(ROW('Списки блоков'!$V$2:$V986)&lt;&gt;ROW('Списки блоков'!$V$3)),0),0)),"","ДК,")
</f>
        <v>Видеолаба,</v>
      </c>
      <c r="F47" s="8">
        <v>8.9203294501E10</v>
      </c>
      <c r="G47" s="5" t="s">
        <v>239</v>
      </c>
      <c r="H47" s="5" t="s">
        <v>240</v>
      </c>
      <c r="I47" s="2" t="s">
        <v>241</v>
      </c>
      <c r="J47" s="7" t="s">
        <v>22</v>
      </c>
    </row>
    <row r="48">
      <c r="A48" s="2" t="s">
        <v>242</v>
      </c>
      <c r="B48" s="2" t="str">
        <f t="shared" si="4"/>
        <v>Касаткин Максим</v>
      </c>
      <c r="C48" s="3">
        <v>101.0</v>
      </c>
      <c r="D48" s="2" t="s">
        <v>50</v>
      </c>
      <c r="E48" s="2" t="str">
        <f t="array" ref="E48">IF(ISERROR(MATCH(1,INDEX(('Списки блоков'!$B$2:$B986=B48)*(ROW('Списки блоков'!$B$2:$B986)&lt;&gt;ROW('Списки блоков'!$B$3)),0),0)),"","БДНС,")
&amp;IF(ISERROR(MATCH(1,INDEX(('Списки блоков'!$C$2:$C986=B48)*(ROW('Списки блоков'!$C$2:$C986)&lt;&gt;ROW('Списки блоков'!$C$3)),0),0)),"","Видеолаба,")
&amp;IF(ISERROR(MATCH(1,INDEX(('Списки блоков'!$D$2:$D986=B48)*(ROW('Списки блоков'!$D$2:$D986)&lt;&gt;ROW('Списки блоков'!$D$3)),0),0)),"","Декораторы,")
&amp;IF(ISERROR(MATCH(1,INDEX(('Списки блоков'!$E$2:$E986=B48)*(ROW('Списки блоков'!$E$2:$E986)&lt;&gt;ROW('Списки блоков'!$E$3)),0),0)),"","Дизайн,")
&amp;IF(ISERROR(MATCH(1,INDEX(('Списки блоков'!$F$2:$F986=B48)*(ROW('Списки блоков'!$F$2:$F986)&lt;&gt;ROW('Списки блоков'!$F$3)),0),0)),"","Досуг,")
&amp;IF(ISERROR(MATCH(1,INDEX(('Списки блоков'!$G$2:$G986=B48)*(ROW('Списки блоков'!$G$2:$G986)&lt;&gt;ROW('Списки блоков'!$G$3)),0),0)),"","Закупки,")
&amp;IF(ISERROR(MATCH(1,INDEX(('Списки блоков'!$H$2:$H986=B48)*(ROW('Списки блоков'!$H$2:$H986)&lt;&gt;ROW('Списки блоков'!$H$3)),0),0)),"","ИнфоБлок,")
&amp;IF(ISERROR(MATCH(1,INDEX(('Списки блоков'!$I$2:$I986=B48)*(ROW('Списки блоков'!$I$2:$I986)&lt;&gt;ROW('Списки блоков'!$I$3)),0),0)),"","КГ,")
&amp;IF(ISERROR(MATCH(1,INDEX(('Списки блоков'!$J$2:$J986=B48)*(ROW('Списки блоков'!$J$2:$J986)&lt;&gt;ROW('Списки блоков'!$J$3)),0),0)),"","МП,")
&amp;IF(ISERROR(MATCH(1,INDEX(('Списки блоков'!$K$2:$K986=B48)*(ROW('Списки блоков'!$K$2:$K986)&lt;&gt;ROW('Списки блоков'!$K$3)),0),0)),"","Профорги,")
&amp;IF(ISERROR(MATCH(1,INDEX(('Списки блоков'!$L$2:$L986=B48)*(ROW('Списки блоков'!$L$2:$L986)&lt;&gt;ROW('Списки блоков'!$L$3)),0),0)),"","Спонсоры,")
&amp;IF(ISERROR(MATCH(1,INDEX(('Списки блоков'!$M$2:$M986=B48)*(ROW('Списки блоков'!$M$2:$M986)&lt;&gt;ROW('Списки блоков'!$M$3)),0),0)),"","Склад,")
&amp;IF(ISERROR(MATCH(1,INDEX(('Списки блоков'!$N$2:$N986=B48)*(ROW('Списки блоков'!$N$2:$N986)&lt;&gt;ROW('Списки блоков'!$N$3)),0),0)),"","Сценаристы,")
&amp;IF(ISERROR(MATCH(1,INDEX(('Списки блоков'!$O$2:$O986=B48)*(ROW('Списки блоков'!$O$2:$O986)&lt;&gt;ROW('Списки блоков'!$O$3)),0),0)),"","Техники,")
&amp;IF(ISERROR(MATCH(1,INDEX(('Списки блоков'!$P$2:$P986=B48)*(ROW('Списки блоков'!$P$2:$P986)&lt;&gt;ROW('Списки блоков'!$P$3)),0),0)),"","УРС,")
&amp;IF(ISERROR(MATCH(1,INDEX(('Списки блоков'!$Q$2:$Q986=B48)*(ROW('Списки блоков'!$Q$2:$Q986)&lt;&gt;ROW('Списки блоков'!$Q$3)),0),0)),"","Фото,")
&amp;IF(ISERROR(MATCH(1,INDEX((#REF!=B48)*(ROW(#REF!)&lt;&gt;ROW(#REF!)),0),0)),"","ЭкоБлок,")
&amp;IF(ISERROR(MATCH(1,INDEX(('Списки блоков'!$R$2:$R986=B48)*(ROW('Списки блоков'!$R$2:$R986)&lt;&gt;ROW('Списки блоков'!$R$3)),0),0)),"","HR,")
&amp;IF(ISERROR(MATCH(1,INDEX(('Списки блоков'!$S$2:$S986=B48)*(ROW('Списки блоков'!$S$2:$S986)&lt;&gt;ROW('Списки блоков'!$S$3)),0),0)),"","Instagram,")
&amp;IF(ISERROR(MATCH(1,INDEX(('Списки блоков'!$T$2:$T986=B48)*(ROW('Списки блоков'!$T$2:$T986)&lt;&gt;ROW('Списки блоков'!$T$3)),0),0)),"","Zachёt,")
&amp;IF(ISERROR(MATCH(1,INDEX(('Списки блоков'!$U$2:$U986=B48)*(ROW('Списки блоков'!$U$2:$U986)&lt;&gt;ROW('Списки блоков'!$U$3)),0),0)),"","IT,")
&amp;IF(ISERROR(MATCH(1,INDEX(('Списки блоков'!$V$2:$V986=B48)*(ROW('Списки блоков'!$V$2:$V986)&lt;&gt;ROW('Списки блоков'!$V$3)),0),0)),"","ДК,")
</f>
        <v>Дизайн,</v>
      </c>
      <c r="F48" s="2" t="s">
        <v>243</v>
      </c>
      <c r="G48" s="5" t="s">
        <v>244</v>
      </c>
      <c r="H48" s="5" t="s">
        <v>245</v>
      </c>
      <c r="I48" s="2" t="s">
        <v>246</v>
      </c>
      <c r="J48" s="7" t="s">
        <v>22</v>
      </c>
    </row>
    <row r="49">
      <c r="A49" s="7" t="s">
        <v>247</v>
      </c>
      <c r="B49" s="2" t="str">
        <f t="shared" si="4"/>
        <v>Кашкин Роман</v>
      </c>
      <c r="C49" s="3">
        <v>328.0</v>
      </c>
      <c r="D49" s="2" t="s">
        <v>248</v>
      </c>
      <c r="E49" s="2" t="str">
        <f t="array" ref="E49">IF(ISERROR(MATCH(1,INDEX(('Списки блоков'!$B$2:$B986=B49)*(ROW('Списки блоков'!$B$2:$B986)&lt;&gt;ROW('Списки блоков'!$B$3)),0),0)),"","БДНС,")
&amp;IF(ISERROR(MATCH(1,INDEX(('Списки блоков'!$C$2:$C986=B49)*(ROW('Списки блоков'!$C$2:$C986)&lt;&gt;ROW('Списки блоков'!$C$3)),0),0)),"","Видеолаба,")
&amp;IF(ISERROR(MATCH(1,INDEX(('Списки блоков'!$D$2:$D986=B49)*(ROW('Списки блоков'!$D$2:$D986)&lt;&gt;ROW('Списки блоков'!$D$3)),0),0)),"","Декораторы,")
&amp;IF(ISERROR(MATCH(1,INDEX(('Списки блоков'!$E$2:$E986=B49)*(ROW('Списки блоков'!$E$2:$E986)&lt;&gt;ROW('Списки блоков'!$E$3)),0),0)),"","Дизайн,")
&amp;IF(ISERROR(MATCH(1,INDEX(('Списки блоков'!$F$2:$F986=B49)*(ROW('Списки блоков'!$F$2:$F986)&lt;&gt;ROW('Списки блоков'!$F$3)),0),0)),"","Досуг,")
&amp;IF(ISERROR(MATCH(1,INDEX(('Списки блоков'!$G$2:$G986=B49)*(ROW('Списки блоков'!$G$2:$G986)&lt;&gt;ROW('Списки блоков'!$G$3)),0),0)),"","Закупки,")
&amp;IF(ISERROR(MATCH(1,INDEX(('Списки блоков'!$H$2:$H986=B49)*(ROW('Списки блоков'!$H$2:$H986)&lt;&gt;ROW('Списки блоков'!$H$3)),0),0)),"","ИнфоБлок,")
&amp;IF(ISERROR(MATCH(1,INDEX(('Списки блоков'!$I$2:$I986=B49)*(ROW('Списки блоков'!$I$2:$I986)&lt;&gt;ROW('Списки блоков'!$I$3)),0),0)),"","КГ,")
&amp;IF(ISERROR(MATCH(1,INDEX(('Списки блоков'!$J$2:$J986=B49)*(ROW('Списки блоков'!$J$2:$J986)&lt;&gt;ROW('Списки блоков'!$J$3)),0),0)),"","МП,")
&amp;IF(ISERROR(MATCH(1,INDEX(('Списки блоков'!$K$2:$K986=B49)*(ROW('Списки блоков'!$K$2:$K986)&lt;&gt;ROW('Списки блоков'!$K$3)),0),0)),"","Профорги,")
&amp;IF(ISERROR(MATCH(1,INDEX(('Списки блоков'!$L$2:$L986=B49)*(ROW('Списки блоков'!$L$2:$L986)&lt;&gt;ROW('Списки блоков'!$L$3)),0),0)),"","Спонсоры,")
&amp;IF(ISERROR(MATCH(1,INDEX(('Списки блоков'!$M$2:$M986=B49)*(ROW('Списки блоков'!$M$2:$M986)&lt;&gt;ROW('Списки блоков'!$M$3)),0),0)),"","Склад,")
&amp;IF(ISERROR(MATCH(1,INDEX(('Списки блоков'!$N$2:$N986=B49)*(ROW('Списки блоков'!$N$2:$N986)&lt;&gt;ROW('Списки блоков'!$N$3)),0),0)),"","Сценаристы,")
&amp;IF(ISERROR(MATCH(1,INDEX(('Списки блоков'!$O$2:$O986=B49)*(ROW('Списки блоков'!$O$2:$O986)&lt;&gt;ROW('Списки блоков'!$O$3)),0),0)),"","Техники,")
&amp;IF(ISERROR(MATCH(1,INDEX(('Списки блоков'!$P$2:$P986=B49)*(ROW('Списки блоков'!$P$2:$P986)&lt;&gt;ROW('Списки блоков'!$P$3)),0),0)),"","УРС,")
&amp;IF(ISERROR(MATCH(1,INDEX(('Списки блоков'!$Q$2:$Q986=B49)*(ROW('Списки блоков'!$Q$2:$Q986)&lt;&gt;ROW('Списки блоков'!$Q$3)),0),0)),"","Фото,")
&amp;IF(ISERROR(MATCH(1,INDEX((#REF!=B49)*(ROW(#REF!)&lt;&gt;ROW(#REF!)),0),0)),"","ЭкоБлок,")
&amp;IF(ISERROR(MATCH(1,INDEX(('Списки блоков'!$R$2:$R986=B49)*(ROW('Списки блоков'!$R$2:$R986)&lt;&gt;ROW('Списки блоков'!$R$3)),0),0)),"","HR,")
&amp;IF(ISERROR(MATCH(1,INDEX(('Списки блоков'!$S$2:$S986=B49)*(ROW('Списки блоков'!$S$2:$S986)&lt;&gt;ROW('Списки блоков'!$S$3)),0),0)),"","Instagram,")
&amp;IF(ISERROR(MATCH(1,INDEX(('Списки блоков'!$T$2:$T986=B49)*(ROW('Списки блоков'!$T$2:$T986)&lt;&gt;ROW('Списки блоков'!$T$3)),0),0)),"","Zachёt,")
&amp;IF(ISERROR(MATCH(1,INDEX(('Списки блоков'!$U$2:$U986=B49)*(ROW('Списки блоков'!$U$2:$U986)&lt;&gt;ROW('Списки блоков'!$U$3)),0),0)),"","IT,")
&amp;IF(ISERROR(MATCH(1,INDEX(('Списки блоков'!$V$2:$V986=B49)*(ROW('Списки блоков'!$V$2:$V986)&lt;&gt;ROW('Списки блоков'!$V$3)),0),0)),"","ДК,")
</f>
        <v>Досуг,Сценаристы,Фото,</v>
      </c>
      <c r="F49" s="4">
        <v>8.9250261065E10</v>
      </c>
      <c r="G49" s="5" t="s">
        <v>249</v>
      </c>
      <c r="H49" s="2" t="s">
        <v>250</v>
      </c>
      <c r="I49" s="2" t="s">
        <v>251</v>
      </c>
      <c r="J49" s="7" t="s">
        <v>22</v>
      </c>
    </row>
    <row r="50">
      <c r="A50" s="2" t="s">
        <v>252</v>
      </c>
      <c r="B50" s="2" t="str">
        <f t="shared" si="4"/>
        <v>Кизласова Маргарита</v>
      </c>
      <c r="C50" s="3">
        <v>207.0</v>
      </c>
      <c r="D50" s="2" t="s">
        <v>50</v>
      </c>
      <c r="E50" s="2" t="str">
        <f t="array" ref="E50">IF(ISERROR(MATCH(1,INDEX(('Списки блоков'!$B$2:$B986=B50)*(ROW('Списки блоков'!$B$2:$B986)&lt;&gt;ROW('Списки блоков'!$B$3)),0),0)),"","БДНС,")
&amp;IF(ISERROR(MATCH(1,INDEX(('Списки блоков'!$C$2:$C986=B50)*(ROW('Списки блоков'!$C$2:$C986)&lt;&gt;ROW('Списки блоков'!$C$3)),0),0)),"","Видеолаба,")
&amp;IF(ISERROR(MATCH(1,INDEX(('Списки блоков'!$D$2:$D986=B50)*(ROW('Списки блоков'!$D$2:$D986)&lt;&gt;ROW('Списки блоков'!$D$3)),0),0)),"","Декораторы,")
&amp;IF(ISERROR(MATCH(1,INDEX(('Списки блоков'!$E$2:$E986=B50)*(ROW('Списки блоков'!$E$2:$E986)&lt;&gt;ROW('Списки блоков'!$E$3)),0),0)),"","Дизайн,")
&amp;IF(ISERROR(MATCH(1,INDEX(('Списки блоков'!$F$2:$F986=B50)*(ROW('Списки блоков'!$F$2:$F986)&lt;&gt;ROW('Списки блоков'!$F$3)),0),0)),"","Досуг,")
&amp;IF(ISERROR(MATCH(1,INDEX(('Списки блоков'!$G$2:$G986=B50)*(ROW('Списки блоков'!$G$2:$G986)&lt;&gt;ROW('Списки блоков'!$G$3)),0),0)),"","Закупки,")
&amp;IF(ISERROR(MATCH(1,INDEX(('Списки блоков'!$H$2:$H986=B50)*(ROW('Списки блоков'!$H$2:$H986)&lt;&gt;ROW('Списки блоков'!$H$3)),0),0)),"","ИнфоБлок,")
&amp;IF(ISERROR(MATCH(1,INDEX(('Списки блоков'!$I$2:$I986=B50)*(ROW('Списки блоков'!$I$2:$I986)&lt;&gt;ROW('Списки блоков'!$I$3)),0),0)),"","КГ,")
&amp;IF(ISERROR(MATCH(1,INDEX(('Списки блоков'!$J$2:$J986=B50)*(ROW('Списки блоков'!$J$2:$J986)&lt;&gt;ROW('Списки блоков'!$J$3)),0),0)),"","МП,")
&amp;IF(ISERROR(MATCH(1,INDEX(('Списки блоков'!$K$2:$K986=B50)*(ROW('Списки блоков'!$K$2:$K986)&lt;&gt;ROW('Списки блоков'!$K$3)),0),0)),"","Профорги,")
&amp;IF(ISERROR(MATCH(1,INDEX(('Списки блоков'!$L$2:$L986=B50)*(ROW('Списки блоков'!$L$2:$L986)&lt;&gt;ROW('Списки блоков'!$L$3)),0),0)),"","Спонсоры,")
&amp;IF(ISERROR(MATCH(1,INDEX(('Списки блоков'!$M$2:$M986=B50)*(ROW('Списки блоков'!$M$2:$M986)&lt;&gt;ROW('Списки блоков'!$M$3)),0),0)),"","Склад,")
&amp;IF(ISERROR(MATCH(1,INDEX(('Списки блоков'!$N$2:$N986=B50)*(ROW('Списки блоков'!$N$2:$N986)&lt;&gt;ROW('Списки блоков'!$N$3)),0),0)),"","Сценаристы,")
&amp;IF(ISERROR(MATCH(1,INDEX(('Списки блоков'!$O$2:$O986=B50)*(ROW('Списки блоков'!$O$2:$O986)&lt;&gt;ROW('Списки блоков'!$O$3)),0),0)),"","Техники,")
&amp;IF(ISERROR(MATCH(1,INDEX(('Списки блоков'!$P$2:$P986=B50)*(ROW('Списки блоков'!$P$2:$P986)&lt;&gt;ROW('Списки блоков'!$P$3)),0),0)),"","УРС,")
&amp;IF(ISERROR(MATCH(1,INDEX(('Списки блоков'!$Q$2:$Q986=B50)*(ROW('Списки блоков'!$Q$2:$Q986)&lt;&gt;ROW('Списки блоков'!$Q$3)),0),0)),"","Фото,")
&amp;IF(ISERROR(MATCH(1,INDEX((#REF!=B50)*(ROW(#REF!)&lt;&gt;ROW(#REF!)),0),0)),"","ЭкоБлок,")
&amp;IF(ISERROR(MATCH(1,INDEX(('Списки блоков'!$R$2:$R986=B50)*(ROW('Списки блоков'!$R$2:$R986)&lt;&gt;ROW('Списки блоков'!$R$3)),0),0)),"","HR,")
&amp;IF(ISERROR(MATCH(1,INDEX(('Списки блоков'!$S$2:$S986=B50)*(ROW('Списки блоков'!$S$2:$S986)&lt;&gt;ROW('Списки блоков'!$S$3)),0),0)),"","Instagram,")
&amp;IF(ISERROR(MATCH(1,INDEX(('Списки блоков'!$T$2:$T986=B50)*(ROW('Списки блоков'!$T$2:$T986)&lt;&gt;ROW('Списки блоков'!$T$3)),0),0)),"","Zachёt,")
&amp;IF(ISERROR(MATCH(1,INDEX(('Списки блоков'!$U$2:$U986=B50)*(ROW('Списки блоков'!$U$2:$U986)&lt;&gt;ROW('Списки блоков'!$U$3)),0),0)),"","IT,")
&amp;IF(ISERROR(MATCH(1,INDEX(('Списки блоков'!$V$2:$V986=B50)*(ROW('Списки блоков'!$V$2:$V986)&lt;&gt;ROW('Списки блоков'!$V$3)),0),0)),"","ДК,")
</f>
        <v>Закупки,ИнфоБлок,</v>
      </c>
      <c r="F50" s="4">
        <v>8.9241011853E10</v>
      </c>
      <c r="G50" s="5" t="s">
        <v>253</v>
      </c>
      <c r="H50" s="2" t="s">
        <v>254</v>
      </c>
      <c r="I50" s="2" t="s">
        <v>255</v>
      </c>
      <c r="J50" s="7" t="s">
        <v>22</v>
      </c>
    </row>
    <row r="51">
      <c r="A51" s="10" t="s">
        <v>256</v>
      </c>
      <c r="B51" s="2" t="str">
        <f t="shared" si="4"/>
        <v>Коднир Михаил</v>
      </c>
      <c r="C51" s="9">
        <v>215.0</v>
      </c>
      <c r="D51" s="10" t="s">
        <v>257</v>
      </c>
      <c r="E51" s="2" t="str">
        <f t="array" ref="E51">IF(ISERROR(MATCH(1,INDEX(('Списки блоков'!$B$2:$B986=B51)*(ROW('Списки блоков'!$B$2:$B986)&lt;&gt;ROW('Списки блоков'!$B$3)),0),0)),"","БДНС,")
&amp;IF(ISERROR(MATCH(1,INDEX(('Списки блоков'!$C$2:$C986=B51)*(ROW('Списки блоков'!$C$2:$C986)&lt;&gt;ROW('Списки блоков'!$C$3)),0),0)),"","Видеолаба,")
&amp;IF(ISERROR(MATCH(1,INDEX(('Списки блоков'!$D$2:$D986=B51)*(ROW('Списки блоков'!$D$2:$D986)&lt;&gt;ROW('Списки блоков'!$D$3)),0),0)),"","Декораторы,")
&amp;IF(ISERROR(MATCH(1,INDEX(('Списки блоков'!$E$2:$E986=B51)*(ROW('Списки блоков'!$E$2:$E986)&lt;&gt;ROW('Списки блоков'!$E$3)),0),0)),"","Дизайн,")
&amp;IF(ISERROR(MATCH(1,INDEX(('Списки блоков'!$F$2:$F986=B51)*(ROW('Списки блоков'!$F$2:$F986)&lt;&gt;ROW('Списки блоков'!$F$3)),0),0)),"","Досуг,")
&amp;IF(ISERROR(MATCH(1,INDEX(('Списки блоков'!$G$2:$G986=B51)*(ROW('Списки блоков'!$G$2:$G986)&lt;&gt;ROW('Списки блоков'!$G$3)),0),0)),"","Закупки,")
&amp;IF(ISERROR(MATCH(1,INDEX(('Списки блоков'!$H$2:$H986=B51)*(ROW('Списки блоков'!$H$2:$H986)&lt;&gt;ROW('Списки блоков'!$H$3)),0),0)),"","ИнфоБлок,")
&amp;IF(ISERROR(MATCH(1,INDEX(('Списки блоков'!$I$2:$I986=B51)*(ROW('Списки блоков'!$I$2:$I986)&lt;&gt;ROW('Списки блоков'!$I$3)),0),0)),"","КГ,")
&amp;IF(ISERROR(MATCH(1,INDEX(('Списки блоков'!$J$2:$J986=B51)*(ROW('Списки блоков'!$J$2:$J986)&lt;&gt;ROW('Списки блоков'!$J$3)),0),0)),"","МП,")
&amp;IF(ISERROR(MATCH(1,INDEX(('Списки блоков'!$K$2:$K986=B51)*(ROW('Списки блоков'!$K$2:$K986)&lt;&gt;ROW('Списки блоков'!$K$3)),0),0)),"","Профорги,")
&amp;IF(ISERROR(MATCH(1,INDEX(('Списки блоков'!$L$2:$L986=B51)*(ROW('Списки блоков'!$L$2:$L986)&lt;&gt;ROW('Списки блоков'!$L$3)),0),0)),"","Спонсоры,")
&amp;IF(ISERROR(MATCH(1,INDEX(('Списки блоков'!$M$2:$M986=B51)*(ROW('Списки блоков'!$M$2:$M986)&lt;&gt;ROW('Списки блоков'!$M$3)),0),0)),"","Склад,")
&amp;IF(ISERROR(MATCH(1,INDEX(('Списки блоков'!$N$2:$N986=B51)*(ROW('Списки блоков'!$N$2:$N986)&lt;&gt;ROW('Списки блоков'!$N$3)),0),0)),"","Сценаристы,")
&amp;IF(ISERROR(MATCH(1,INDEX(('Списки блоков'!$O$2:$O986=B51)*(ROW('Списки блоков'!$O$2:$O986)&lt;&gt;ROW('Списки блоков'!$O$3)),0),0)),"","Техники,")
&amp;IF(ISERROR(MATCH(1,INDEX(('Списки блоков'!$P$2:$P986=B51)*(ROW('Списки блоков'!$P$2:$P986)&lt;&gt;ROW('Списки блоков'!$P$3)),0),0)),"","УРС,")
&amp;IF(ISERROR(MATCH(1,INDEX(('Списки блоков'!$Q$2:$Q986=B51)*(ROW('Списки блоков'!$Q$2:$Q986)&lt;&gt;ROW('Списки блоков'!$Q$3)),0),0)),"","Фото,")
&amp;IF(ISERROR(MATCH(1,INDEX((#REF!=B51)*(ROW(#REF!)&lt;&gt;ROW(#REF!)),0),0)),"","ЭкоБлок,")
&amp;IF(ISERROR(MATCH(1,INDEX(('Списки блоков'!$R$2:$R986=B51)*(ROW('Списки блоков'!$R$2:$R986)&lt;&gt;ROW('Списки блоков'!$R$3)),0),0)),"","HR,")
&amp;IF(ISERROR(MATCH(1,INDEX(('Списки блоков'!$S$2:$S986=B51)*(ROW('Списки блоков'!$S$2:$S986)&lt;&gt;ROW('Списки блоков'!$S$3)),0),0)),"","Instagram,")
&amp;IF(ISERROR(MATCH(1,INDEX(('Списки блоков'!$T$2:$T986=B51)*(ROW('Списки блоков'!$T$2:$T986)&lt;&gt;ROW('Списки блоков'!$T$3)),0),0)),"","Zachёt,")
&amp;IF(ISERROR(MATCH(1,INDEX(('Списки блоков'!$U$2:$U986=B51)*(ROW('Списки блоков'!$U$2:$U986)&lt;&gt;ROW('Списки блоков'!$U$3)),0),0)),"","IT,")
&amp;IF(ISERROR(MATCH(1,INDEX(('Списки блоков'!$V$2:$V986=B51)*(ROW('Списки блоков'!$V$2:$V986)&lt;&gt;ROW('Списки блоков'!$V$3)),0),0)),"","ДК,")
</f>
        <v>Досуг,Спонсоры,ДК,</v>
      </c>
      <c r="F51" s="11">
        <v>8.9167395906E10</v>
      </c>
      <c r="G51" s="12" t="s">
        <v>258</v>
      </c>
      <c r="H51" s="10" t="s">
        <v>259</v>
      </c>
      <c r="I51" s="10" t="s">
        <v>260</v>
      </c>
      <c r="J51" s="6" t="s">
        <v>22</v>
      </c>
    </row>
    <row r="52">
      <c r="A52" s="7" t="s">
        <v>261</v>
      </c>
      <c r="B52" s="2" t="str">
        <f t="shared" si="4"/>
        <v>Кожевникова Мария</v>
      </c>
      <c r="C52" s="3">
        <v>218.0</v>
      </c>
      <c r="D52" s="2" t="s">
        <v>262</v>
      </c>
      <c r="E52" s="2" t="str">
        <f t="array" ref="E52">IF(ISERROR(MATCH(1,INDEX(('Списки блоков'!$B$2:$B986=B52)*(ROW('Списки блоков'!$B$2:$B986)&lt;&gt;ROW('Списки блоков'!$B$3)),0),0)),"","БДНС,")
&amp;IF(ISERROR(MATCH(1,INDEX(('Списки блоков'!$C$2:$C986=B52)*(ROW('Списки блоков'!$C$2:$C986)&lt;&gt;ROW('Списки блоков'!$C$3)),0),0)),"","Видеолаба,")
&amp;IF(ISERROR(MATCH(1,INDEX(('Списки блоков'!$D$2:$D986=B52)*(ROW('Списки блоков'!$D$2:$D986)&lt;&gt;ROW('Списки блоков'!$D$3)),0),0)),"","Декораторы,")
&amp;IF(ISERROR(MATCH(1,INDEX(('Списки блоков'!$E$2:$E986=B52)*(ROW('Списки блоков'!$E$2:$E986)&lt;&gt;ROW('Списки блоков'!$E$3)),0),0)),"","Дизайн,")
&amp;IF(ISERROR(MATCH(1,INDEX(('Списки блоков'!$F$2:$F986=B52)*(ROW('Списки блоков'!$F$2:$F986)&lt;&gt;ROW('Списки блоков'!$F$3)),0),0)),"","Досуг,")
&amp;IF(ISERROR(MATCH(1,INDEX(('Списки блоков'!$G$2:$G986=B52)*(ROW('Списки блоков'!$G$2:$G986)&lt;&gt;ROW('Списки блоков'!$G$3)),0),0)),"","Закупки,")
&amp;IF(ISERROR(MATCH(1,INDEX(('Списки блоков'!$H$2:$H986=B52)*(ROW('Списки блоков'!$H$2:$H986)&lt;&gt;ROW('Списки блоков'!$H$3)),0),0)),"","ИнфоБлок,")
&amp;IF(ISERROR(MATCH(1,INDEX(('Списки блоков'!$I$2:$I986=B52)*(ROW('Списки блоков'!$I$2:$I986)&lt;&gt;ROW('Списки блоков'!$I$3)),0),0)),"","КГ,")
&amp;IF(ISERROR(MATCH(1,INDEX(('Списки блоков'!$J$2:$J986=B52)*(ROW('Списки блоков'!$J$2:$J986)&lt;&gt;ROW('Списки блоков'!$J$3)),0),0)),"","МП,")
&amp;IF(ISERROR(MATCH(1,INDEX(('Списки блоков'!$K$2:$K986=B52)*(ROW('Списки блоков'!$K$2:$K986)&lt;&gt;ROW('Списки блоков'!$K$3)),0),0)),"","Профорги,")
&amp;IF(ISERROR(MATCH(1,INDEX(('Списки блоков'!$L$2:$L986=B52)*(ROW('Списки блоков'!$L$2:$L986)&lt;&gt;ROW('Списки блоков'!$L$3)),0),0)),"","Спонсоры,")
&amp;IF(ISERROR(MATCH(1,INDEX(('Списки блоков'!$M$2:$M986=B52)*(ROW('Списки блоков'!$M$2:$M986)&lt;&gt;ROW('Списки блоков'!$M$3)),0),0)),"","Склад,")
&amp;IF(ISERROR(MATCH(1,INDEX(('Списки блоков'!$N$2:$N986=B52)*(ROW('Списки блоков'!$N$2:$N986)&lt;&gt;ROW('Списки блоков'!$N$3)),0),0)),"","Сценаристы,")
&amp;IF(ISERROR(MATCH(1,INDEX(('Списки блоков'!$O$2:$O986=B52)*(ROW('Списки блоков'!$O$2:$O986)&lt;&gt;ROW('Списки блоков'!$O$3)),0),0)),"","Техники,")
&amp;IF(ISERROR(MATCH(1,INDEX(('Списки блоков'!$P$2:$P986=B52)*(ROW('Списки блоков'!$P$2:$P986)&lt;&gt;ROW('Списки блоков'!$P$3)),0),0)),"","УРС,")
&amp;IF(ISERROR(MATCH(1,INDEX(('Списки блоков'!$Q$2:$Q986=B52)*(ROW('Списки блоков'!$Q$2:$Q986)&lt;&gt;ROW('Списки блоков'!$Q$3)),0),0)),"","Фото,")
&amp;IF(ISERROR(MATCH(1,INDEX((#REF!=B52)*(ROW(#REF!)&lt;&gt;ROW(#REF!)),0),0)),"","ЭкоБлок,")
&amp;IF(ISERROR(MATCH(1,INDEX(('Списки блоков'!$R$2:$R986=B52)*(ROW('Списки блоков'!$R$2:$R986)&lt;&gt;ROW('Списки блоков'!$R$3)),0),0)),"","HR,")
&amp;IF(ISERROR(MATCH(1,INDEX(('Списки блоков'!$S$2:$S986=B52)*(ROW('Списки блоков'!$S$2:$S986)&lt;&gt;ROW('Списки блоков'!$S$3)),0),0)),"","Instagram,")
&amp;IF(ISERROR(MATCH(1,INDEX(('Списки блоков'!$T$2:$T986=B52)*(ROW('Списки блоков'!$T$2:$T986)&lt;&gt;ROW('Списки блоков'!$T$3)),0),0)),"","Zachёt,")
&amp;IF(ISERROR(MATCH(1,INDEX(('Списки блоков'!$U$2:$U986=B52)*(ROW('Списки блоков'!$U$2:$U986)&lt;&gt;ROW('Списки блоков'!$U$3)),0),0)),"","IT,")
&amp;IF(ISERROR(MATCH(1,INDEX(('Списки блоков'!$V$2:$V986=B52)*(ROW('Списки блоков'!$V$2:$V986)&lt;&gt;ROW('Списки блоков'!$V$3)),0),0)),"","ДК,")
</f>
        <v>ИнфоБлок,МП,ДК,</v>
      </c>
      <c r="F52" s="4">
        <v>8.985075934E10</v>
      </c>
      <c r="G52" s="5" t="s">
        <v>263</v>
      </c>
      <c r="H52" s="2" t="s">
        <v>264</v>
      </c>
      <c r="I52" s="2" t="s">
        <v>265</v>
      </c>
      <c r="J52" s="7" t="s">
        <v>22</v>
      </c>
    </row>
    <row r="53">
      <c r="A53" s="7" t="s">
        <v>266</v>
      </c>
      <c r="B53" s="2" t="str">
        <f t="shared" si="4"/>
        <v>Кокорев Петр</v>
      </c>
      <c r="C53" s="3">
        <v>113.0</v>
      </c>
      <c r="D53" s="2" t="s">
        <v>267</v>
      </c>
      <c r="E53" s="2" t="str">
        <f t="array" ref="E53">IF(ISERROR(MATCH(1,INDEX(('Списки блоков'!$B$2:$B986=B53)*(ROW('Списки блоков'!$B$2:$B986)&lt;&gt;ROW('Списки блоков'!$B$3)),0),0)),"","БДНС,")
&amp;IF(ISERROR(MATCH(1,INDEX(('Списки блоков'!$C$2:$C986=B53)*(ROW('Списки блоков'!$C$2:$C986)&lt;&gt;ROW('Списки блоков'!$C$3)),0),0)),"","Видеолаба,")
&amp;IF(ISERROR(MATCH(1,INDEX(('Списки блоков'!$D$2:$D986=B53)*(ROW('Списки блоков'!$D$2:$D986)&lt;&gt;ROW('Списки блоков'!$D$3)),0),0)),"","Декораторы,")
&amp;IF(ISERROR(MATCH(1,INDEX(('Списки блоков'!$E$2:$E986=B53)*(ROW('Списки блоков'!$E$2:$E986)&lt;&gt;ROW('Списки блоков'!$E$3)),0),0)),"","Дизайн,")
&amp;IF(ISERROR(MATCH(1,INDEX(('Списки блоков'!$F$2:$F986=B53)*(ROW('Списки блоков'!$F$2:$F986)&lt;&gt;ROW('Списки блоков'!$F$3)),0),0)),"","Досуг,")
&amp;IF(ISERROR(MATCH(1,INDEX(('Списки блоков'!$G$2:$G986=B53)*(ROW('Списки блоков'!$G$2:$G986)&lt;&gt;ROW('Списки блоков'!$G$3)),0),0)),"","Закупки,")
&amp;IF(ISERROR(MATCH(1,INDEX(('Списки блоков'!$H$2:$H986=B53)*(ROW('Списки блоков'!$H$2:$H986)&lt;&gt;ROW('Списки блоков'!$H$3)),0),0)),"","ИнфоБлок,")
&amp;IF(ISERROR(MATCH(1,INDEX(('Списки блоков'!$I$2:$I986=B53)*(ROW('Списки блоков'!$I$2:$I986)&lt;&gt;ROW('Списки блоков'!$I$3)),0),0)),"","КГ,")
&amp;IF(ISERROR(MATCH(1,INDEX(('Списки блоков'!$J$2:$J986=B53)*(ROW('Списки блоков'!$J$2:$J986)&lt;&gt;ROW('Списки блоков'!$J$3)),0),0)),"","МП,")
&amp;IF(ISERROR(MATCH(1,INDEX(('Списки блоков'!$K$2:$K986=B53)*(ROW('Списки блоков'!$K$2:$K986)&lt;&gt;ROW('Списки блоков'!$K$3)),0),0)),"","Профорги,")
&amp;IF(ISERROR(MATCH(1,INDEX(('Списки блоков'!$L$2:$L986=B53)*(ROW('Списки блоков'!$L$2:$L986)&lt;&gt;ROW('Списки блоков'!$L$3)),0),0)),"","Спонсоры,")
&amp;IF(ISERROR(MATCH(1,INDEX(('Списки блоков'!$M$2:$M986=B53)*(ROW('Списки блоков'!$M$2:$M986)&lt;&gt;ROW('Списки блоков'!$M$3)),0),0)),"","Склад,")
&amp;IF(ISERROR(MATCH(1,INDEX(('Списки блоков'!$N$2:$N986=B53)*(ROW('Списки блоков'!$N$2:$N986)&lt;&gt;ROW('Списки блоков'!$N$3)),0),0)),"","Сценаристы,")
&amp;IF(ISERROR(MATCH(1,INDEX(('Списки блоков'!$O$2:$O986=B53)*(ROW('Списки блоков'!$O$2:$O986)&lt;&gt;ROW('Списки блоков'!$O$3)),0),0)),"","Техники,")
&amp;IF(ISERROR(MATCH(1,INDEX(('Списки блоков'!$P$2:$P986=B53)*(ROW('Списки блоков'!$P$2:$P986)&lt;&gt;ROW('Списки блоков'!$P$3)),0),0)),"","УРС,")
&amp;IF(ISERROR(MATCH(1,INDEX(('Списки блоков'!$Q$2:$Q986=B53)*(ROW('Списки блоков'!$Q$2:$Q986)&lt;&gt;ROW('Списки блоков'!$Q$3)),0),0)),"","Фото,")
&amp;IF(ISERROR(MATCH(1,INDEX((#REF!=B53)*(ROW(#REF!)&lt;&gt;ROW(#REF!)),0),0)),"","ЭкоБлок,")
&amp;IF(ISERROR(MATCH(1,INDEX(('Списки блоков'!$R$2:$R986=B53)*(ROW('Списки блоков'!$R$2:$R986)&lt;&gt;ROW('Списки блоков'!$R$3)),0),0)),"","HR,")
&amp;IF(ISERROR(MATCH(1,INDEX(('Списки блоков'!$S$2:$S986=B53)*(ROW('Списки блоков'!$S$2:$S986)&lt;&gt;ROW('Списки блоков'!$S$3)),0),0)),"","Instagram,")
&amp;IF(ISERROR(MATCH(1,INDEX(('Списки блоков'!$T$2:$T986=B53)*(ROW('Списки блоков'!$T$2:$T986)&lt;&gt;ROW('Списки блоков'!$T$3)),0),0)),"","Zachёt,")
&amp;IF(ISERROR(MATCH(1,INDEX(('Списки блоков'!$U$2:$U986=B53)*(ROW('Списки блоков'!$U$2:$U986)&lt;&gt;ROW('Списки блоков'!$U$3)),0),0)),"","IT,")
&amp;IF(ISERROR(MATCH(1,INDEX(('Списки блоков'!$V$2:$V986=B53)*(ROW('Списки блоков'!$V$2:$V986)&lt;&gt;ROW('Списки блоков'!$V$3)),0),0)),"","ДК,")
</f>
        <v>Дизайн,</v>
      </c>
      <c r="F53" s="8">
        <v>8.9687878776E10</v>
      </c>
      <c r="G53" s="5" t="s">
        <v>268</v>
      </c>
      <c r="H53" s="2" t="s">
        <v>269</v>
      </c>
      <c r="I53" s="2" t="s">
        <v>270</v>
      </c>
      <c r="J53" s="7" t="s">
        <v>22</v>
      </c>
    </row>
    <row r="54">
      <c r="A54" s="6" t="s">
        <v>271</v>
      </c>
      <c r="B54" s="2" t="str">
        <f t="shared" si="4"/>
        <v>Концевая Александра</v>
      </c>
      <c r="C54" s="9">
        <v>118.0</v>
      </c>
      <c r="D54" s="10" t="s">
        <v>272</v>
      </c>
      <c r="E54" s="2" t="str">
        <f t="array" ref="E54">IF(ISERROR(MATCH(1,INDEX(('Списки блоков'!$B$2:$B986=B54)*(ROW('Списки блоков'!$B$2:$B986)&lt;&gt;ROW('Списки блоков'!$B$3)),0),0)),"","БДНС,")
&amp;IF(ISERROR(MATCH(1,INDEX(('Списки блоков'!$C$2:$C986=B54)*(ROW('Списки блоков'!$C$2:$C986)&lt;&gt;ROW('Списки блоков'!$C$3)),0),0)),"","Видеолаба,")
&amp;IF(ISERROR(MATCH(1,INDEX(('Списки блоков'!$D$2:$D986=B54)*(ROW('Списки блоков'!$D$2:$D986)&lt;&gt;ROW('Списки блоков'!$D$3)),0),0)),"","Декораторы,")
&amp;IF(ISERROR(MATCH(1,INDEX(('Списки блоков'!$E$2:$E986=B54)*(ROW('Списки блоков'!$E$2:$E986)&lt;&gt;ROW('Списки блоков'!$E$3)),0),0)),"","Дизайн,")
&amp;IF(ISERROR(MATCH(1,INDEX(('Списки блоков'!$F$2:$F986=B54)*(ROW('Списки блоков'!$F$2:$F986)&lt;&gt;ROW('Списки блоков'!$F$3)),0),0)),"","Досуг,")
&amp;IF(ISERROR(MATCH(1,INDEX(('Списки блоков'!$G$2:$G986=B54)*(ROW('Списки блоков'!$G$2:$G986)&lt;&gt;ROW('Списки блоков'!$G$3)),0),0)),"","Закупки,")
&amp;IF(ISERROR(MATCH(1,INDEX(('Списки блоков'!$H$2:$H986=B54)*(ROW('Списки блоков'!$H$2:$H986)&lt;&gt;ROW('Списки блоков'!$H$3)),0),0)),"","ИнфоБлок,")
&amp;IF(ISERROR(MATCH(1,INDEX(('Списки блоков'!$I$2:$I986=B54)*(ROW('Списки блоков'!$I$2:$I986)&lt;&gt;ROW('Списки блоков'!$I$3)),0),0)),"","КГ,")
&amp;IF(ISERROR(MATCH(1,INDEX(('Списки блоков'!$J$2:$J986=B54)*(ROW('Списки блоков'!$J$2:$J986)&lt;&gt;ROW('Списки блоков'!$J$3)),0),0)),"","МП,")
&amp;IF(ISERROR(MATCH(1,INDEX(('Списки блоков'!$K$2:$K986=B54)*(ROW('Списки блоков'!$K$2:$K986)&lt;&gt;ROW('Списки блоков'!$K$3)),0),0)),"","Профорги,")
&amp;IF(ISERROR(MATCH(1,INDEX(('Списки блоков'!$L$2:$L986=B54)*(ROW('Списки блоков'!$L$2:$L986)&lt;&gt;ROW('Списки блоков'!$L$3)),0),0)),"","Спонсоры,")
&amp;IF(ISERROR(MATCH(1,INDEX(('Списки блоков'!$M$2:$M986=B54)*(ROW('Списки блоков'!$M$2:$M986)&lt;&gt;ROW('Списки блоков'!$M$3)),0),0)),"","Склад,")
&amp;IF(ISERROR(MATCH(1,INDEX(('Списки блоков'!$N$2:$N986=B54)*(ROW('Списки блоков'!$N$2:$N986)&lt;&gt;ROW('Списки блоков'!$N$3)),0),0)),"","Сценаристы,")
&amp;IF(ISERROR(MATCH(1,INDEX(('Списки блоков'!$O$2:$O986=B54)*(ROW('Списки блоков'!$O$2:$O986)&lt;&gt;ROW('Списки блоков'!$O$3)),0),0)),"","Техники,")
&amp;IF(ISERROR(MATCH(1,INDEX(('Списки блоков'!$P$2:$P986=B54)*(ROW('Списки блоков'!$P$2:$P986)&lt;&gt;ROW('Списки блоков'!$P$3)),0),0)),"","УРС,")
&amp;IF(ISERROR(MATCH(1,INDEX(('Списки блоков'!$Q$2:$Q986=B54)*(ROW('Списки блоков'!$Q$2:$Q986)&lt;&gt;ROW('Списки блоков'!$Q$3)),0),0)),"","Фото,")
&amp;IF(ISERROR(MATCH(1,INDEX((#REF!=B54)*(ROW(#REF!)&lt;&gt;ROW(#REF!)),0),0)),"","ЭкоБлок,")
&amp;IF(ISERROR(MATCH(1,INDEX(('Списки блоков'!$R$2:$R986=B54)*(ROW('Списки блоков'!$R$2:$R986)&lt;&gt;ROW('Списки блоков'!$R$3)),0),0)),"","HR,")
&amp;IF(ISERROR(MATCH(1,INDEX(('Списки блоков'!$S$2:$S986=B54)*(ROW('Списки блоков'!$S$2:$S986)&lt;&gt;ROW('Списки блоков'!$S$3)),0),0)),"","Instagram,")
&amp;IF(ISERROR(MATCH(1,INDEX(('Списки блоков'!$T$2:$T986=B54)*(ROW('Списки блоков'!$T$2:$T986)&lt;&gt;ROW('Списки блоков'!$T$3)),0),0)),"","Zachёt,")
&amp;IF(ISERROR(MATCH(1,INDEX(('Списки блоков'!$U$2:$U986=B54)*(ROW('Списки блоков'!$U$2:$U986)&lt;&gt;ROW('Списки блоков'!$U$3)),0),0)),"","IT,")
&amp;IF(ISERROR(MATCH(1,INDEX(('Списки блоков'!$V$2:$V986=B54)*(ROW('Списки блоков'!$V$2:$V986)&lt;&gt;ROW('Списки блоков'!$V$3)),0),0)),"","ДК,")
</f>
        <v>Дизайн,Склад,Техники,Instagram,</v>
      </c>
      <c r="F54" s="11">
        <v>8.9854214461E10</v>
      </c>
      <c r="G54" s="12" t="s">
        <v>273</v>
      </c>
      <c r="H54" s="10" t="s">
        <v>274</v>
      </c>
      <c r="I54" s="10" t="s">
        <v>275</v>
      </c>
      <c r="J54" s="6" t="s">
        <v>15</v>
      </c>
    </row>
    <row r="55">
      <c r="A55" s="16" t="s">
        <v>276</v>
      </c>
      <c r="B55" s="2" t="str">
        <f t="shared" si="4"/>
        <v>Корж Евгения</v>
      </c>
      <c r="C55" s="3">
        <v>217.0</v>
      </c>
      <c r="D55" s="2" t="s">
        <v>277</v>
      </c>
      <c r="E55" s="2" t="str">
        <f t="array" ref="E55">IF(ISERROR(MATCH(1,INDEX(('Списки блоков'!$B$2:$B986=B55)*(ROW('Списки блоков'!$B$2:$B986)&lt;&gt;ROW('Списки блоков'!$B$3)),0),0)),"","БДНС,")
&amp;IF(ISERROR(MATCH(1,INDEX(('Списки блоков'!$C$2:$C986=B55)*(ROW('Списки блоков'!$C$2:$C986)&lt;&gt;ROW('Списки блоков'!$C$3)),0),0)),"","Видеолаба,")
&amp;IF(ISERROR(MATCH(1,INDEX(('Списки блоков'!$D$2:$D986=B55)*(ROW('Списки блоков'!$D$2:$D986)&lt;&gt;ROW('Списки блоков'!$D$3)),0),0)),"","Декораторы,")
&amp;IF(ISERROR(MATCH(1,INDEX(('Списки блоков'!$E$2:$E986=B55)*(ROW('Списки блоков'!$E$2:$E986)&lt;&gt;ROW('Списки блоков'!$E$3)),0),0)),"","Дизайн,")
&amp;IF(ISERROR(MATCH(1,INDEX(('Списки блоков'!$F$2:$F986=B55)*(ROW('Списки блоков'!$F$2:$F986)&lt;&gt;ROW('Списки блоков'!$F$3)),0),0)),"","Досуг,")
&amp;IF(ISERROR(MATCH(1,INDEX(('Списки блоков'!$G$2:$G986=B55)*(ROW('Списки блоков'!$G$2:$G986)&lt;&gt;ROW('Списки блоков'!$G$3)),0),0)),"","Закупки,")
&amp;IF(ISERROR(MATCH(1,INDEX(('Списки блоков'!$H$2:$H986=B55)*(ROW('Списки блоков'!$H$2:$H986)&lt;&gt;ROW('Списки блоков'!$H$3)),0),0)),"","ИнфоБлок,")
&amp;IF(ISERROR(MATCH(1,INDEX(('Списки блоков'!$I$2:$I986=B55)*(ROW('Списки блоков'!$I$2:$I986)&lt;&gt;ROW('Списки блоков'!$I$3)),0),0)),"","КГ,")
&amp;IF(ISERROR(MATCH(1,INDEX(('Списки блоков'!$J$2:$J986=B55)*(ROW('Списки блоков'!$J$2:$J986)&lt;&gt;ROW('Списки блоков'!$J$3)),0),0)),"","МП,")
&amp;IF(ISERROR(MATCH(1,INDEX(('Списки блоков'!$K$2:$K986=B55)*(ROW('Списки блоков'!$K$2:$K986)&lt;&gt;ROW('Списки блоков'!$K$3)),0),0)),"","Профорги,")
&amp;IF(ISERROR(MATCH(1,INDEX(('Списки блоков'!$L$2:$L986=B55)*(ROW('Списки блоков'!$L$2:$L986)&lt;&gt;ROW('Списки блоков'!$L$3)),0),0)),"","Спонсоры,")
&amp;IF(ISERROR(MATCH(1,INDEX(('Списки блоков'!$M$2:$M986=B55)*(ROW('Списки блоков'!$M$2:$M986)&lt;&gt;ROW('Списки блоков'!$M$3)),0),0)),"","Склад,")
&amp;IF(ISERROR(MATCH(1,INDEX(('Списки блоков'!$N$2:$N986=B55)*(ROW('Списки блоков'!$N$2:$N986)&lt;&gt;ROW('Списки блоков'!$N$3)),0),0)),"","Сценаристы,")
&amp;IF(ISERROR(MATCH(1,INDEX(('Списки блоков'!$O$2:$O986=B55)*(ROW('Списки блоков'!$O$2:$O986)&lt;&gt;ROW('Списки блоков'!$O$3)),0),0)),"","Техники,")
&amp;IF(ISERROR(MATCH(1,INDEX(('Списки блоков'!$P$2:$P986=B55)*(ROW('Списки блоков'!$P$2:$P986)&lt;&gt;ROW('Списки блоков'!$P$3)),0),0)),"","УРС,")
&amp;IF(ISERROR(MATCH(1,INDEX(('Списки блоков'!$Q$2:$Q986=B55)*(ROW('Списки блоков'!$Q$2:$Q986)&lt;&gt;ROW('Списки блоков'!$Q$3)),0),0)),"","Фото,")
&amp;IF(ISERROR(MATCH(1,INDEX((#REF!=B55)*(ROW(#REF!)&lt;&gt;ROW(#REF!)),0),0)),"","ЭкоБлок,")
&amp;IF(ISERROR(MATCH(1,INDEX(('Списки блоков'!$R$2:$R986=B55)*(ROW('Списки блоков'!$R$2:$R986)&lt;&gt;ROW('Списки блоков'!$R$3)),0),0)),"","HR,")
&amp;IF(ISERROR(MATCH(1,INDEX(('Списки блоков'!$S$2:$S986=B55)*(ROW('Списки блоков'!$S$2:$S986)&lt;&gt;ROW('Списки блоков'!$S$3)),0),0)),"","Instagram,")
&amp;IF(ISERROR(MATCH(1,INDEX(('Списки блоков'!$T$2:$T986=B55)*(ROW('Списки блоков'!$T$2:$T986)&lt;&gt;ROW('Списки блоков'!$T$3)),0),0)),"","Zachёt,")
&amp;IF(ISERROR(MATCH(1,INDEX(('Списки блоков'!$U$2:$U986=B55)*(ROW('Списки блоков'!$U$2:$U986)&lt;&gt;ROW('Списки блоков'!$U$3)),0),0)),"","IT,")
&amp;IF(ISERROR(MATCH(1,INDEX(('Списки блоков'!$V$2:$V986=B55)*(ROW('Списки блоков'!$V$2:$V986)&lt;&gt;ROW('Списки блоков'!$V$3)),0),0)),"","ДК,")
</f>
        <v>Дизайн,</v>
      </c>
      <c r="F55" s="8">
        <v>8.9160065201E10</v>
      </c>
      <c r="G55" s="5" t="s">
        <v>278</v>
      </c>
      <c r="H55" s="13" t="s">
        <v>279</v>
      </c>
      <c r="I55" s="2" t="s">
        <v>280</v>
      </c>
      <c r="J55" s="7" t="s">
        <v>22</v>
      </c>
    </row>
    <row r="56">
      <c r="A56" s="2" t="s">
        <v>281</v>
      </c>
      <c r="B56" s="2" t="str">
        <f t="shared" si="4"/>
        <v>Коробкина Мария</v>
      </c>
      <c r="C56" s="3">
        <v>314.0</v>
      </c>
      <c r="D56" s="2" t="s">
        <v>136</v>
      </c>
      <c r="E56" s="2" t="str">
        <f t="array" ref="E56">IF(ISERROR(MATCH(1,INDEX(('Списки блоков'!$B$2:$B986=B56)*(ROW('Списки блоков'!$B$2:$B986)&lt;&gt;ROW('Списки блоков'!$B$3)),0),0)),"","БДНС,")
&amp;IF(ISERROR(MATCH(1,INDEX(('Списки блоков'!$C$2:$C986=B56)*(ROW('Списки блоков'!$C$2:$C986)&lt;&gt;ROW('Списки блоков'!$C$3)),0),0)),"","Видеолаба,")
&amp;IF(ISERROR(MATCH(1,INDEX(('Списки блоков'!$D$2:$D986=B56)*(ROW('Списки блоков'!$D$2:$D986)&lt;&gt;ROW('Списки блоков'!$D$3)),0),0)),"","Декораторы,")
&amp;IF(ISERROR(MATCH(1,INDEX(('Списки блоков'!$E$2:$E986=B56)*(ROW('Списки блоков'!$E$2:$E986)&lt;&gt;ROW('Списки блоков'!$E$3)),0),0)),"","Дизайн,")
&amp;IF(ISERROR(MATCH(1,INDEX(('Списки блоков'!$F$2:$F986=B56)*(ROW('Списки блоков'!$F$2:$F986)&lt;&gt;ROW('Списки блоков'!$F$3)),0),0)),"","Досуг,")
&amp;IF(ISERROR(MATCH(1,INDEX(('Списки блоков'!$G$2:$G986=B56)*(ROW('Списки блоков'!$G$2:$G986)&lt;&gt;ROW('Списки блоков'!$G$3)),0),0)),"","Закупки,")
&amp;IF(ISERROR(MATCH(1,INDEX(('Списки блоков'!$H$2:$H986=B56)*(ROW('Списки блоков'!$H$2:$H986)&lt;&gt;ROW('Списки блоков'!$H$3)),0),0)),"","ИнфоБлок,")
&amp;IF(ISERROR(MATCH(1,INDEX(('Списки блоков'!$I$2:$I986=B56)*(ROW('Списки блоков'!$I$2:$I986)&lt;&gt;ROW('Списки блоков'!$I$3)),0),0)),"","КГ,")
&amp;IF(ISERROR(MATCH(1,INDEX(('Списки блоков'!$J$2:$J986=B56)*(ROW('Списки блоков'!$J$2:$J986)&lt;&gt;ROW('Списки блоков'!$J$3)),0),0)),"","МП,")
&amp;IF(ISERROR(MATCH(1,INDEX(('Списки блоков'!$K$2:$K986=B56)*(ROW('Списки блоков'!$K$2:$K986)&lt;&gt;ROW('Списки блоков'!$K$3)),0),0)),"","Профорги,")
&amp;IF(ISERROR(MATCH(1,INDEX(('Списки блоков'!$L$2:$L986=B56)*(ROW('Списки блоков'!$L$2:$L986)&lt;&gt;ROW('Списки блоков'!$L$3)),0),0)),"","Спонсоры,")
&amp;IF(ISERROR(MATCH(1,INDEX(('Списки блоков'!$M$2:$M986=B56)*(ROW('Списки блоков'!$M$2:$M986)&lt;&gt;ROW('Списки блоков'!$M$3)),0),0)),"","Склад,")
&amp;IF(ISERROR(MATCH(1,INDEX(('Списки блоков'!$N$2:$N986=B56)*(ROW('Списки блоков'!$N$2:$N986)&lt;&gt;ROW('Списки блоков'!$N$3)),0),0)),"","Сценаристы,")
&amp;IF(ISERROR(MATCH(1,INDEX(('Списки блоков'!$O$2:$O986=B56)*(ROW('Списки блоков'!$O$2:$O986)&lt;&gt;ROW('Списки блоков'!$O$3)),0),0)),"","Техники,")
&amp;IF(ISERROR(MATCH(1,INDEX(('Списки блоков'!$P$2:$P986=B56)*(ROW('Списки блоков'!$P$2:$P986)&lt;&gt;ROW('Списки блоков'!$P$3)),0),0)),"","УРС,")
&amp;IF(ISERROR(MATCH(1,INDEX(('Списки блоков'!$Q$2:$Q986=B56)*(ROW('Списки блоков'!$Q$2:$Q986)&lt;&gt;ROW('Списки блоков'!$Q$3)),0),0)),"","Фото,")
&amp;IF(ISERROR(MATCH(1,INDEX((#REF!=B56)*(ROW(#REF!)&lt;&gt;ROW(#REF!)),0),0)),"","ЭкоБлок,")
&amp;IF(ISERROR(MATCH(1,INDEX(('Списки блоков'!$R$2:$R986=B56)*(ROW('Списки блоков'!$R$2:$R986)&lt;&gt;ROW('Списки блоков'!$R$3)),0),0)),"","HR,")
&amp;IF(ISERROR(MATCH(1,INDEX(('Списки блоков'!$S$2:$S986=B56)*(ROW('Списки блоков'!$S$2:$S986)&lt;&gt;ROW('Списки блоков'!$S$3)),0),0)),"","Instagram,")
&amp;IF(ISERROR(MATCH(1,INDEX(('Списки блоков'!$T$2:$T986=B56)*(ROW('Списки блоков'!$T$2:$T986)&lt;&gt;ROW('Списки блоков'!$T$3)),0),0)),"","Zachёt,")
&amp;IF(ISERROR(MATCH(1,INDEX(('Списки блоков'!$U$2:$U986=B56)*(ROW('Списки блоков'!$U$2:$U986)&lt;&gt;ROW('Списки блоков'!$U$3)),0),0)),"","IT,")
&amp;IF(ISERROR(MATCH(1,INDEX(('Списки блоков'!$V$2:$V986=B56)*(ROW('Списки блоков'!$V$2:$V986)&lt;&gt;ROW('Списки блоков'!$V$3)),0),0)),"","ДК,")
</f>
        <v>БДНС,Склад,</v>
      </c>
      <c r="F56" s="8">
        <v>8.9269883591E10</v>
      </c>
      <c r="G56" s="5" t="s">
        <v>282</v>
      </c>
      <c r="H56" s="5" t="s">
        <v>283</v>
      </c>
      <c r="I56" s="2" t="s">
        <v>284</v>
      </c>
      <c r="J56" s="7" t="s">
        <v>22</v>
      </c>
    </row>
    <row r="57">
      <c r="A57" s="2" t="s">
        <v>285</v>
      </c>
      <c r="B57" s="2" t="str">
        <f t="shared" si="4"/>
        <v>Котляревская Анна</v>
      </c>
      <c r="C57" s="3">
        <v>321.0</v>
      </c>
      <c r="D57" s="2" t="s">
        <v>184</v>
      </c>
      <c r="E57" s="2" t="str">
        <f t="array" ref="E57">IF(ISERROR(MATCH(1,INDEX(('Списки блоков'!$B$2:$B986=B57)*(ROW('Списки блоков'!$B$2:$B986)&lt;&gt;ROW('Списки блоков'!$B$3)),0),0)),"","БДНС,")
&amp;IF(ISERROR(MATCH(1,INDEX(('Списки блоков'!$C$2:$C986=B57)*(ROW('Списки блоков'!$C$2:$C986)&lt;&gt;ROW('Списки блоков'!$C$3)),0),0)),"","Видеолаба,")
&amp;IF(ISERROR(MATCH(1,INDEX(('Списки блоков'!$D$2:$D986=B57)*(ROW('Списки блоков'!$D$2:$D986)&lt;&gt;ROW('Списки блоков'!$D$3)),0),0)),"","Декораторы,")
&amp;IF(ISERROR(MATCH(1,INDEX(('Списки блоков'!$E$2:$E986=B57)*(ROW('Списки блоков'!$E$2:$E986)&lt;&gt;ROW('Списки блоков'!$E$3)),0),0)),"","Дизайн,")
&amp;IF(ISERROR(MATCH(1,INDEX(('Списки блоков'!$F$2:$F986=B57)*(ROW('Списки блоков'!$F$2:$F986)&lt;&gt;ROW('Списки блоков'!$F$3)),0),0)),"","Досуг,")
&amp;IF(ISERROR(MATCH(1,INDEX(('Списки блоков'!$G$2:$G986=B57)*(ROW('Списки блоков'!$G$2:$G986)&lt;&gt;ROW('Списки блоков'!$G$3)),0),0)),"","Закупки,")
&amp;IF(ISERROR(MATCH(1,INDEX(('Списки блоков'!$H$2:$H986=B57)*(ROW('Списки блоков'!$H$2:$H986)&lt;&gt;ROW('Списки блоков'!$H$3)),0),0)),"","ИнфоБлок,")
&amp;IF(ISERROR(MATCH(1,INDEX(('Списки блоков'!$I$2:$I986=B57)*(ROW('Списки блоков'!$I$2:$I986)&lt;&gt;ROW('Списки блоков'!$I$3)),0),0)),"","КГ,")
&amp;IF(ISERROR(MATCH(1,INDEX(('Списки блоков'!$J$2:$J986=B57)*(ROW('Списки блоков'!$J$2:$J986)&lt;&gt;ROW('Списки блоков'!$J$3)),0),0)),"","МП,")
&amp;IF(ISERROR(MATCH(1,INDEX(('Списки блоков'!$K$2:$K986=B57)*(ROW('Списки блоков'!$K$2:$K986)&lt;&gt;ROW('Списки блоков'!$K$3)),0),0)),"","Профорги,")
&amp;IF(ISERROR(MATCH(1,INDEX(('Списки блоков'!$L$2:$L986=B57)*(ROW('Списки блоков'!$L$2:$L986)&lt;&gt;ROW('Списки блоков'!$L$3)),0),0)),"","Спонсоры,")
&amp;IF(ISERROR(MATCH(1,INDEX(('Списки блоков'!$M$2:$M986=B57)*(ROW('Списки блоков'!$M$2:$M986)&lt;&gt;ROW('Списки блоков'!$M$3)),0),0)),"","Склад,")
&amp;IF(ISERROR(MATCH(1,INDEX(('Списки блоков'!$N$2:$N986=B57)*(ROW('Списки блоков'!$N$2:$N986)&lt;&gt;ROW('Списки блоков'!$N$3)),0),0)),"","Сценаристы,")
&amp;IF(ISERROR(MATCH(1,INDEX(('Списки блоков'!$O$2:$O986=B57)*(ROW('Списки блоков'!$O$2:$O986)&lt;&gt;ROW('Списки блоков'!$O$3)),0),0)),"","Техники,")
&amp;IF(ISERROR(MATCH(1,INDEX(('Списки блоков'!$P$2:$P986=B57)*(ROW('Списки блоков'!$P$2:$P986)&lt;&gt;ROW('Списки блоков'!$P$3)),0),0)),"","УРС,")
&amp;IF(ISERROR(MATCH(1,INDEX(('Списки блоков'!$Q$2:$Q986=B57)*(ROW('Списки блоков'!$Q$2:$Q986)&lt;&gt;ROW('Списки блоков'!$Q$3)),0),0)),"","Фото,")
&amp;IF(ISERROR(MATCH(1,INDEX((#REF!=B57)*(ROW(#REF!)&lt;&gt;ROW(#REF!)),0),0)),"","ЭкоБлок,")
&amp;IF(ISERROR(MATCH(1,INDEX(('Списки блоков'!$R$2:$R986=B57)*(ROW('Списки блоков'!$R$2:$R986)&lt;&gt;ROW('Списки блоков'!$R$3)),0),0)),"","HR,")
&amp;IF(ISERROR(MATCH(1,INDEX(('Списки блоков'!$S$2:$S986=B57)*(ROW('Списки блоков'!$S$2:$S986)&lt;&gt;ROW('Списки блоков'!$S$3)),0),0)),"","Instagram,")
&amp;IF(ISERROR(MATCH(1,INDEX(('Списки блоков'!$T$2:$T986=B57)*(ROW('Списки блоков'!$T$2:$T986)&lt;&gt;ROW('Списки блоков'!$T$3)),0),0)),"","Zachёt,")
&amp;IF(ISERROR(MATCH(1,INDEX(('Списки блоков'!$U$2:$U986=B57)*(ROW('Списки блоков'!$U$2:$U986)&lt;&gt;ROW('Списки блоков'!$U$3)),0),0)),"","IT,")
&amp;IF(ISERROR(MATCH(1,INDEX(('Списки блоков'!$V$2:$V986=B57)*(ROW('Списки блоков'!$V$2:$V986)&lt;&gt;ROW('Списки блоков'!$V$3)),0),0)),"","ДК,")
</f>
        <v>БДНС,Декораторы,Дизайн,КГ,Спонсоры,HR,</v>
      </c>
      <c r="F57" s="8">
        <v>8.914191393E10</v>
      </c>
      <c r="G57" s="5" t="s">
        <v>286</v>
      </c>
      <c r="H57" s="5" t="s">
        <v>287</v>
      </c>
      <c r="I57" s="2" t="s">
        <v>288</v>
      </c>
      <c r="J57" s="7" t="s">
        <v>22</v>
      </c>
    </row>
    <row r="58">
      <c r="A58" s="2" t="s">
        <v>289</v>
      </c>
      <c r="B58" s="2" t="str">
        <f t="shared" si="4"/>
        <v>Коцин Антон</v>
      </c>
      <c r="C58" s="3">
        <v>104.0</v>
      </c>
      <c r="D58" s="2" t="s">
        <v>290</v>
      </c>
      <c r="E58" s="2" t="str">
        <f t="array" ref="E58">IF(ISERROR(MATCH(1,INDEX(('Списки блоков'!$B$2:$B986=B58)*(ROW('Списки блоков'!$B$2:$B986)&lt;&gt;ROW('Списки блоков'!$B$3)),0),0)),"","БДНС,")
&amp;IF(ISERROR(MATCH(1,INDEX(('Списки блоков'!$C$2:$C986=B58)*(ROW('Списки блоков'!$C$2:$C986)&lt;&gt;ROW('Списки блоков'!$C$3)),0),0)),"","Видеолаба,")
&amp;IF(ISERROR(MATCH(1,INDEX(('Списки блоков'!$D$2:$D986=B58)*(ROW('Списки блоков'!$D$2:$D986)&lt;&gt;ROW('Списки блоков'!$D$3)),0),0)),"","Декораторы,")
&amp;IF(ISERROR(MATCH(1,INDEX(('Списки блоков'!$E$2:$E986=B58)*(ROW('Списки блоков'!$E$2:$E986)&lt;&gt;ROW('Списки блоков'!$E$3)),0),0)),"","Дизайн,")
&amp;IF(ISERROR(MATCH(1,INDEX(('Списки блоков'!$F$2:$F986=B58)*(ROW('Списки блоков'!$F$2:$F986)&lt;&gt;ROW('Списки блоков'!$F$3)),0),0)),"","Досуг,")
&amp;IF(ISERROR(MATCH(1,INDEX(('Списки блоков'!$G$2:$G986=B58)*(ROW('Списки блоков'!$G$2:$G986)&lt;&gt;ROW('Списки блоков'!$G$3)),0),0)),"","Закупки,")
&amp;IF(ISERROR(MATCH(1,INDEX(('Списки блоков'!$H$2:$H986=B58)*(ROW('Списки блоков'!$H$2:$H986)&lt;&gt;ROW('Списки блоков'!$H$3)),0),0)),"","ИнфоБлок,")
&amp;IF(ISERROR(MATCH(1,INDEX(('Списки блоков'!$I$2:$I986=B58)*(ROW('Списки блоков'!$I$2:$I986)&lt;&gt;ROW('Списки блоков'!$I$3)),0),0)),"","КГ,")
&amp;IF(ISERROR(MATCH(1,INDEX(('Списки блоков'!$J$2:$J986=B58)*(ROW('Списки блоков'!$J$2:$J986)&lt;&gt;ROW('Списки блоков'!$J$3)),0),0)),"","МП,")
&amp;IF(ISERROR(MATCH(1,INDEX(('Списки блоков'!$K$2:$K986=B58)*(ROW('Списки блоков'!$K$2:$K986)&lt;&gt;ROW('Списки блоков'!$K$3)),0),0)),"","Профорги,")
&amp;IF(ISERROR(MATCH(1,INDEX(('Списки блоков'!$L$2:$L986=B58)*(ROW('Списки блоков'!$L$2:$L986)&lt;&gt;ROW('Списки блоков'!$L$3)),0),0)),"","Спонсоры,")
&amp;IF(ISERROR(MATCH(1,INDEX(('Списки блоков'!$M$2:$M986=B58)*(ROW('Списки блоков'!$M$2:$M986)&lt;&gt;ROW('Списки блоков'!$M$3)),0),0)),"","Склад,")
&amp;IF(ISERROR(MATCH(1,INDEX(('Списки блоков'!$N$2:$N986=B58)*(ROW('Списки блоков'!$N$2:$N986)&lt;&gt;ROW('Списки блоков'!$N$3)),0),0)),"","Сценаристы,")
&amp;IF(ISERROR(MATCH(1,INDEX(('Списки блоков'!$O$2:$O986=B58)*(ROW('Списки блоков'!$O$2:$O986)&lt;&gt;ROW('Списки блоков'!$O$3)),0),0)),"","Техники,")
&amp;IF(ISERROR(MATCH(1,INDEX(('Списки блоков'!$P$2:$P986=B58)*(ROW('Списки блоков'!$P$2:$P986)&lt;&gt;ROW('Списки блоков'!$P$3)),0),0)),"","УРС,")
&amp;IF(ISERROR(MATCH(1,INDEX(('Списки блоков'!$Q$2:$Q986=B58)*(ROW('Списки блоков'!$Q$2:$Q986)&lt;&gt;ROW('Списки блоков'!$Q$3)),0),0)),"","Фото,")
&amp;IF(ISERROR(MATCH(1,INDEX((#REF!=B58)*(ROW(#REF!)&lt;&gt;ROW(#REF!)),0),0)),"","ЭкоБлок,")
&amp;IF(ISERROR(MATCH(1,INDEX(('Списки блоков'!$R$2:$R986=B58)*(ROW('Списки блоков'!$R$2:$R986)&lt;&gt;ROW('Списки блоков'!$R$3)),0),0)),"","HR,")
&amp;IF(ISERROR(MATCH(1,INDEX(('Списки блоков'!$S$2:$S986=B58)*(ROW('Списки блоков'!$S$2:$S986)&lt;&gt;ROW('Списки блоков'!$S$3)),0),0)),"","Instagram,")
&amp;IF(ISERROR(MATCH(1,INDEX(('Списки блоков'!$T$2:$T986=B58)*(ROW('Списки блоков'!$T$2:$T986)&lt;&gt;ROW('Списки блоков'!$T$3)),0),0)),"","Zachёt,")
&amp;IF(ISERROR(MATCH(1,INDEX(('Списки блоков'!$U$2:$U986=B58)*(ROW('Списки блоков'!$U$2:$U986)&lt;&gt;ROW('Списки блоков'!$U$3)),0),0)),"","IT,")
&amp;IF(ISERROR(MATCH(1,INDEX(('Списки блоков'!$V$2:$V986=B58)*(ROW('Списки блоков'!$V$2:$V986)&lt;&gt;ROW('Списки блоков'!$V$3)),0),0)),"","ДК,")
</f>
        <v>Техники,IT,</v>
      </c>
      <c r="F58" s="4">
        <v>8.9165856669E10</v>
      </c>
      <c r="G58" s="5" t="s">
        <v>291</v>
      </c>
      <c r="H58" s="2" t="s">
        <v>292</v>
      </c>
      <c r="I58" s="2" t="s">
        <v>293</v>
      </c>
      <c r="J58" s="7" t="s">
        <v>22</v>
      </c>
    </row>
    <row r="59">
      <c r="A59" s="10" t="s">
        <v>294</v>
      </c>
      <c r="B59" s="2" t="str">
        <f t="shared" si="4"/>
        <v>Кочеткова Маргарита</v>
      </c>
      <c r="C59" s="9">
        <v>201.0</v>
      </c>
      <c r="D59" s="10" t="s">
        <v>50</v>
      </c>
      <c r="E59" s="2" t="str">
        <f t="array" ref="E59">IF(ISERROR(MATCH(1,INDEX(('Списки блоков'!$B$2:$B986=B59)*(ROW('Списки блоков'!$B$2:$B986)&lt;&gt;ROW('Списки блоков'!$B$3)),0),0)),"","БДНС,")
&amp;IF(ISERROR(MATCH(1,INDEX(('Списки блоков'!$C$2:$C986=B59)*(ROW('Списки блоков'!$C$2:$C986)&lt;&gt;ROW('Списки блоков'!$C$3)),0),0)),"","Видеолаба,")
&amp;IF(ISERROR(MATCH(1,INDEX(('Списки блоков'!$D$2:$D986=B59)*(ROW('Списки блоков'!$D$2:$D986)&lt;&gt;ROW('Списки блоков'!$D$3)),0),0)),"","Декораторы,")
&amp;IF(ISERROR(MATCH(1,INDEX(('Списки блоков'!$E$2:$E986=B59)*(ROW('Списки блоков'!$E$2:$E986)&lt;&gt;ROW('Списки блоков'!$E$3)),0),0)),"","Дизайн,")
&amp;IF(ISERROR(MATCH(1,INDEX(('Списки блоков'!$F$2:$F986=B59)*(ROW('Списки блоков'!$F$2:$F986)&lt;&gt;ROW('Списки блоков'!$F$3)),0),0)),"","Досуг,")
&amp;IF(ISERROR(MATCH(1,INDEX(('Списки блоков'!$G$2:$G986=B59)*(ROW('Списки блоков'!$G$2:$G986)&lt;&gt;ROW('Списки блоков'!$G$3)),0),0)),"","Закупки,")
&amp;IF(ISERROR(MATCH(1,INDEX(('Списки блоков'!$H$2:$H986=B59)*(ROW('Списки блоков'!$H$2:$H986)&lt;&gt;ROW('Списки блоков'!$H$3)),0),0)),"","ИнфоБлок,")
&amp;IF(ISERROR(MATCH(1,INDEX(('Списки блоков'!$I$2:$I986=B59)*(ROW('Списки блоков'!$I$2:$I986)&lt;&gt;ROW('Списки блоков'!$I$3)),0),0)),"","КГ,")
&amp;IF(ISERROR(MATCH(1,INDEX(('Списки блоков'!$J$2:$J986=B59)*(ROW('Списки блоков'!$J$2:$J986)&lt;&gt;ROW('Списки блоков'!$J$3)),0),0)),"","МП,")
&amp;IF(ISERROR(MATCH(1,INDEX(('Списки блоков'!$K$2:$K986=B59)*(ROW('Списки блоков'!$K$2:$K986)&lt;&gt;ROW('Списки блоков'!$K$3)),0),0)),"","Профорги,")
&amp;IF(ISERROR(MATCH(1,INDEX(('Списки блоков'!$L$2:$L986=B59)*(ROW('Списки блоков'!$L$2:$L986)&lt;&gt;ROW('Списки блоков'!$L$3)),0),0)),"","Спонсоры,")
&amp;IF(ISERROR(MATCH(1,INDEX(('Списки блоков'!$M$2:$M986=B59)*(ROW('Списки блоков'!$M$2:$M986)&lt;&gt;ROW('Списки блоков'!$M$3)),0),0)),"","Склад,")
&amp;IF(ISERROR(MATCH(1,INDEX(('Списки блоков'!$N$2:$N986=B59)*(ROW('Списки блоков'!$N$2:$N986)&lt;&gt;ROW('Списки блоков'!$N$3)),0),0)),"","Сценаристы,")
&amp;IF(ISERROR(MATCH(1,INDEX(('Списки блоков'!$O$2:$O986=B59)*(ROW('Списки блоков'!$O$2:$O986)&lt;&gt;ROW('Списки блоков'!$O$3)),0),0)),"","Техники,")
&amp;IF(ISERROR(MATCH(1,INDEX(('Списки блоков'!$P$2:$P986=B59)*(ROW('Списки блоков'!$P$2:$P986)&lt;&gt;ROW('Списки блоков'!$P$3)),0),0)),"","УРС,")
&amp;IF(ISERROR(MATCH(1,INDEX(('Списки блоков'!$Q$2:$Q986=B59)*(ROW('Списки блоков'!$Q$2:$Q986)&lt;&gt;ROW('Списки блоков'!$Q$3)),0),0)),"","Фото,")
&amp;IF(ISERROR(MATCH(1,INDEX((#REF!=B59)*(ROW(#REF!)&lt;&gt;ROW(#REF!)),0),0)),"","ЭкоБлок,")
&amp;IF(ISERROR(MATCH(1,INDEX(('Списки блоков'!$R$2:$R986=B59)*(ROW('Списки блоков'!$R$2:$R986)&lt;&gt;ROW('Списки блоков'!$R$3)),0),0)),"","HR,")
&amp;IF(ISERROR(MATCH(1,INDEX(('Списки блоков'!$S$2:$S986=B59)*(ROW('Списки блоков'!$S$2:$S986)&lt;&gt;ROW('Списки блоков'!$S$3)),0),0)),"","Instagram,")
&amp;IF(ISERROR(MATCH(1,INDEX(('Списки блоков'!$T$2:$T986=B59)*(ROW('Списки блоков'!$T$2:$T986)&lt;&gt;ROW('Списки блоков'!$T$3)),0),0)),"","Zachёt,")
&amp;IF(ISERROR(MATCH(1,INDEX(('Списки блоков'!$U$2:$U986=B59)*(ROW('Списки блоков'!$U$2:$U986)&lt;&gt;ROW('Списки блоков'!$U$3)),0),0)),"","IT,")
&amp;IF(ISERROR(MATCH(1,INDEX(('Списки блоков'!$V$2:$V986=B59)*(ROW('Списки блоков'!$V$2:$V986)&lt;&gt;ROW('Списки блоков'!$V$3)),0),0)),"","ДК,")
</f>
        <v>Дизайн,КГ,Сценаристы,HR,ДК,</v>
      </c>
      <c r="F59" s="14">
        <v>8.9773756944E10</v>
      </c>
      <c r="G59" s="12" t="s">
        <v>295</v>
      </c>
      <c r="H59" s="10" t="s">
        <v>296</v>
      </c>
      <c r="I59" s="10" t="s">
        <v>297</v>
      </c>
      <c r="J59" s="6" t="s">
        <v>22</v>
      </c>
    </row>
    <row r="60">
      <c r="A60" s="2" t="s">
        <v>298</v>
      </c>
      <c r="B60" s="2" t="str">
        <f t="shared" si="4"/>
        <v>Кужагильдин Богдан</v>
      </c>
      <c r="C60" s="3">
        <v>107.0</v>
      </c>
      <c r="D60" s="2" t="s">
        <v>50</v>
      </c>
      <c r="E60" s="2" t="str">
        <f t="array" ref="E60">IF(ISERROR(MATCH(1,INDEX(('Списки блоков'!$B$2:$B986=B60)*(ROW('Списки блоков'!$B$2:$B986)&lt;&gt;ROW('Списки блоков'!$B$3)),0),0)),"","БДНС,")
&amp;IF(ISERROR(MATCH(1,INDEX(('Списки блоков'!$C$2:$C986=B60)*(ROW('Списки блоков'!$C$2:$C986)&lt;&gt;ROW('Списки блоков'!$C$3)),0),0)),"","Видеолаба,")
&amp;IF(ISERROR(MATCH(1,INDEX(('Списки блоков'!$D$2:$D986=B60)*(ROW('Списки блоков'!$D$2:$D986)&lt;&gt;ROW('Списки блоков'!$D$3)),0),0)),"","Декораторы,")
&amp;IF(ISERROR(MATCH(1,INDEX(('Списки блоков'!$E$2:$E986=B60)*(ROW('Списки блоков'!$E$2:$E986)&lt;&gt;ROW('Списки блоков'!$E$3)),0),0)),"","Дизайн,")
&amp;IF(ISERROR(MATCH(1,INDEX(('Списки блоков'!$F$2:$F986=B60)*(ROW('Списки блоков'!$F$2:$F986)&lt;&gt;ROW('Списки блоков'!$F$3)),0),0)),"","Досуг,")
&amp;IF(ISERROR(MATCH(1,INDEX(('Списки блоков'!$G$2:$G986=B60)*(ROW('Списки блоков'!$G$2:$G986)&lt;&gt;ROW('Списки блоков'!$G$3)),0),0)),"","Закупки,")
&amp;IF(ISERROR(MATCH(1,INDEX(('Списки блоков'!$H$2:$H986=B60)*(ROW('Списки блоков'!$H$2:$H986)&lt;&gt;ROW('Списки блоков'!$H$3)),0),0)),"","ИнфоБлок,")
&amp;IF(ISERROR(MATCH(1,INDEX(('Списки блоков'!$I$2:$I986=B60)*(ROW('Списки блоков'!$I$2:$I986)&lt;&gt;ROW('Списки блоков'!$I$3)),0),0)),"","КГ,")
&amp;IF(ISERROR(MATCH(1,INDEX(('Списки блоков'!$J$2:$J986=B60)*(ROW('Списки блоков'!$J$2:$J986)&lt;&gt;ROW('Списки блоков'!$J$3)),0),0)),"","МП,")
&amp;IF(ISERROR(MATCH(1,INDEX(('Списки блоков'!$K$2:$K986=B60)*(ROW('Списки блоков'!$K$2:$K986)&lt;&gt;ROW('Списки блоков'!$K$3)),0),0)),"","Профорги,")
&amp;IF(ISERROR(MATCH(1,INDEX(('Списки блоков'!$L$2:$L986=B60)*(ROW('Списки блоков'!$L$2:$L986)&lt;&gt;ROW('Списки блоков'!$L$3)),0),0)),"","Спонсоры,")
&amp;IF(ISERROR(MATCH(1,INDEX(('Списки блоков'!$M$2:$M986=B60)*(ROW('Списки блоков'!$M$2:$M986)&lt;&gt;ROW('Списки блоков'!$M$3)),0),0)),"","Склад,")
&amp;IF(ISERROR(MATCH(1,INDEX(('Списки блоков'!$N$2:$N986=B60)*(ROW('Списки блоков'!$N$2:$N986)&lt;&gt;ROW('Списки блоков'!$N$3)),0),0)),"","Сценаристы,")
&amp;IF(ISERROR(MATCH(1,INDEX(('Списки блоков'!$O$2:$O986=B60)*(ROW('Списки блоков'!$O$2:$O986)&lt;&gt;ROW('Списки блоков'!$O$3)),0),0)),"","Техники,")
&amp;IF(ISERROR(MATCH(1,INDEX(('Списки блоков'!$P$2:$P986=B60)*(ROW('Списки блоков'!$P$2:$P986)&lt;&gt;ROW('Списки блоков'!$P$3)),0),0)),"","УРС,")
&amp;IF(ISERROR(MATCH(1,INDEX(('Списки блоков'!$Q$2:$Q986=B60)*(ROW('Списки блоков'!$Q$2:$Q986)&lt;&gt;ROW('Списки блоков'!$Q$3)),0),0)),"","Фото,")
&amp;IF(ISERROR(MATCH(1,INDEX((#REF!=B60)*(ROW(#REF!)&lt;&gt;ROW(#REF!)),0),0)),"","ЭкоБлок,")
&amp;IF(ISERROR(MATCH(1,INDEX(('Списки блоков'!$R$2:$R986=B60)*(ROW('Списки блоков'!$R$2:$R986)&lt;&gt;ROW('Списки блоков'!$R$3)),0),0)),"","HR,")
&amp;IF(ISERROR(MATCH(1,INDEX(('Списки блоков'!$S$2:$S986=B60)*(ROW('Списки блоков'!$S$2:$S986)&lt;&gt;ROW('Списки блоков'!$S$3)),0),0)),"","Instagram,")
&amp;IF(ISERROR(MATCH(1,INDEX(('Списки блоков'!$T$2:$T986=B60)*(ROW('Списки блоков'!$T$2:$T986)&lt;&gt;ROW('Списки блоков'!$T$3)),0),0)),"","Zachёt,")
&amp;IF(ISERROR(MATCH(1,INDEX(('Списки блоков'!$U$2:$U986=B60)*(ROW('Списки блоков'!$U$2:$U986)&lt;&gt;ROW('Списки блоков'!$U$3)),0),0)),"","IT,")
&amp;IF(ISERROR(MATCH(1,INDEX(('Списки блоков'!$V$2:$V986=B60)*(ROW('Списки блоков'!$V$2:$V986)&lt;&gt;ROW('Списки блоков'!$V$3)),0),0)),"","ДК,")
</f>
        <v>Склад,</v>
      </c>
      <c r="F60" s="4">
        <v>8.9507359993E10</v>
      </c>
      <c r="G60" s="5" t="s">
        <v>299</v>
      </c>
      <c r="H60" s="17" t="s">
        <v>300</v>
      </c>
      <c r="I60" s="2" t="s">
        <v>301</v>
      </c>
      <c r="J60" s="7" t="s">
        <v>22</v>
      </c>
    </row>
    <row r="61">
      <c r="A61" s="10" t="s">
        <v>302</v>
      </c>
      <c r="B61" s="2" t="str">
        <f t="shared" si="4"/>
        <v>Кузовлева Виктория</v>
      </c>
      <c r="C61" s="9">
        <v>327.0</v>
      </c>
      <c r="D61" s="10" t="s">
        <v>303</v>
      </c>
      <c r="E61" s="2" t="str">
        <f t="array" ref="E61">IF(ISERROR(MATCH(1,INDEX(('Списки блоков'!$B$2:$B986=B61)*(ROW('Списки блоков'!$B$2:$B986)&lt;&gt;ROW('Списки блоков'!$B$3)),0),0)),"","БДНС,")
&amp;IF(ISERROR(MATCH(1,INDEX(('Списки блоков'!$C$2:$C986=B61)*(ROW('Списки блоков'!$C$2:$C986)&lt;&gt;ROW('Списки блоков'!$C$3)),0),0)),"","Видеолаба,")
&amp;IF(ISERROR(MATCH(1,INDEX(('Списки блоков'!$D$2:$D986=B61)*(ROW('Списки блоков'!$D$2:$D986)&lt;&gt;ROW('Списки блоков'!$D$3)),0),0)),"","Декораторы,")
&amp;IF(ISERROR(MATCH(1,INDEX(('Списки блоков'!$E$2:$E986=B61)*(ROW('Списки блоков'!$E$2:$E986)&lt;&gt;ROW('Списки блоков'!$E$3)),0),0)),"","Дизайн,")
&amp;IF(ISERROR(MATCH(1,INDEX(('Списки блоков'!$F$2:$F986=B61)*(ROW('Списки блоков'!$F$2:$F986)&lt;&gt;ROW('Списки блоков'!$F$3)),0),0)),"","Досуг,")
&amp;IF(ISERROR(MATCH(1,INDEX(('Списки блоков'!$G$2:$G986=B61)*(ROW('Списки блоков'!$G$2:$G986)&lt;&gt;ROW('Списки блоков'!$G$3)),0),0)),"","Закупки,")
&amp;IF(ISERROR(MATCH(1,INDEX(('Списки блоков'!$H$2:$H986=B61)*(ROW('Списки блоков'!$H$2:$H986)&lt;&gt;ROW('Списки блоков'!$H$3)),0),0)),"","ИнфоБлок,")
&amp;IF(ISERROR(MATCH(1,INDEX(('Списки блоков'!$I$2:$I986=B61)*(ROW('Списки блоков'!$I$2:$I986)&lt;&gt;ROW('Списки блоков'!$I$3)),0),0)),"","КГ,")
&amp;IF(ISERROR(MATCH(1,INDEX(('Списки блоков'!$J$2:$J986=B61)*(ROW('Списки блоков'!$J$2:$J986)&lt;&gt;ROW('Списки блоков'!$J$3)),0),0)),"","МП,")
&amp;IF(ISERROR(MATCH(1,INDEX(('Списки блоков'!$K$2:$K986=B61)*(ROW('Списки блоков'!$K$2:$K986)&lt;&gt;ROW('Списки блоков'!$K$3)),0),0)),"","Профорги,")
&amp;IF(ISERROR(MATCH(1,INDEX(('Списки блоков'!$L$2:$L986=B61)*(ROW('Списки блоков'!$L$2:$L986)&lt;&gt;ROW('Списки блоков'!$L$3)),0),0)),"","Спонсоры,")
&amp;IF(ISERROR(MATCH(1,INDEX(('Списки блоков'!$M$2:$M986=B61)*(ROW('Списки блоков'!$M$2:$M986)&lt;&gt;ROW('Списки блоков'!$M$3)),0),0)),"","Склад,")
&amp;IF(ISERROR(MATCH(1,INDEX(('Списки блоков'!$N$2:$N986=B61)*(ROW('Списки блоков'!$N$2:$N986)&lt;&gt;ROW('Списки блоков'!$N$3)),0),0)),"","Сценаристы,")
&amp;IF(ISERROR(MATCH(1,INDEX(('Списки блоков'!$O$2:$O986=B61)*(ROW('Списки блоков'!$O$2:$O986)&lt;&gt;ROW('Списки блоков'!$O$3)),0),0)),"","Техники,")
&amp;IF(ISERROR(MATCH(1,INDEX(('Списки блоков'!$P$2:$P986=B61)*(ROW('Списки блоков'!$P$2:$P986)&lt;&gt;ROW('Списки блоков'!$P$3)),0),0)),"","УРС,")
&amp;IF(ISERROR(MATCH(1,INDEX(('Списки блоков'!$Q$2:$Q986=B61)*(ROW('Списки блоков'!$Q$2:$Q986)&lt;&gt;ROW('Списки блоков'!$Q$3)),0),0)),"","Фото,")
&amp;IF(ISERROR(MATCH(1,INDEX((#REF!=B61)*(ROW(#REF!)&lt;&gt;ROW(#REF!)),0),0)),"","ЭкоБлок,")
&amp;IF(ISERROR(MATCH(1,INDEX(('Списки блоков'!$R$2:$R986=B61)*(ROW('Списки блоков'!$R$2:$R986)&lt;&gt;ROW('Списки блоков'!$R$3)),0),0)),"","HR,")
&amp;IF(ISERROR(MATCH(1,INDEX(('Списки блоков'!$S$2:$S986=B61)*(ROW('Списки блоков'!$S$2:$S986)&lt;&gt;ROW('Списки блоков'!$S$3)),0),0)),"","Instagram,")
&amp;IF(ISERROR(MATCH(1,INDEX(('Списки блоков'!$T$2:$T986=B61)*(ROW('Списки блоков'!$T$2:$T986)&lt;&gt;ROW('Списки блоков'!$T$3)),0),0)),"","Zachёt,")
&amp;IF(ISERROR(MATCH(1,INDEX(('Списки блоков'!$U$2:$U986=B61)*(ROW('Списки блоков'!$U$2:$U986)&lt;&gt;ROW('Списки блоков'!$U$3)),0),0)),"","IT,")
&amp;IF(ISERROR(MATCH(1,INDEX(('Списки блоков'!$V$2:$V986=B61)*(ROW('Списки блоков'!$V$2:$V986)&lt;&gt;ROW('Списки блоков'!$V$3)),0),0)),"","ДК,")
</f>
        <v>ИнфоБлок,Сценаристы,</v>
      </c>
      <c r="F61" s="11">
        <v>8.9772802774E10</v>
      </c>
      <c r="G61" s="12" t="s">
        <v>304</v>
      </c>
      <c r="H61" s="10" t="s">
        <v>305</v>
      </c>
      <c r="I61" s="10" t="s">
        <v>306</v>
      </c>
      <c r="J61" s="6" t="s">
        <v>22</v>
      </c>
    </row>
    <row r="62">
      <c r="A62" s="6" t="s">
        <v>307</v>
      </c>
      <c r="B62" s="2" t="str">
        <f t="shared" si="4"/>
        <v>Кузьмина Елизавета</v>
      </c>
      <c r="C62" s="9">
        <v>630.0</v>
      </c>
      <c r="D62" s="10" t="s">
        <v>308</v>
      </c>
      <c r="E62" s="2" t="str">
        <f t="array" ref="E62">IF(ISERROR(MATCH(1,INDEX(('Списки блоков'!$B$2:$B986=B62)*(ROW('Списки блоков'!$B$2:$B986)&lt;&gt;ROW('Списки блоков'!$B$3)),0),0)),"","БДНС,")
&amp;IF(ISERROR(MATCH(1,INDEX(('Списки блоков'!$C$2:$C986=B62)*(ROW('Списки блоков'!$C$2:$C986)&lt;&gt;ROW('Списки блоков'!$C$3)),0),0)),"","Видеолаба,")
&amp;IF(ISERROR(MATCH(1,INDEX(('Списки блоков'!$D$2:$D986=B62)*(ROW('Списки блоков'!$D$2:$D986)&lt;&gt;ROW('Списки блоков'!$D$3)),0),0)),"","Декораторы,")
&amp;IF(ISERROR(MATCH(1,INDEX(('Списки блоков'!$E$2:$E986=B62)*(ROW('Списки блоков'!$E$2:$E986)&lt;&gt;ROW('Списки блоков'!$E$3)),0),0)),"","Дизайн,")
&amp;IF(ISERROR(MATCH(1,INDEX(('Списки блоков'!$F$2:$F986=B62)*(ROW('Списки блоков'!$F$2:$F986)&lt;&gt;ROW('Списки блоков'!$F$3)),0),0)),"","Досуг,")
&amp;IF(ISERROR(MATCH(1,INDEX(('Списки блоков'!$G$2:$G986=B62)*(ROW('Списки блоков'!$G$2:$G986)&lt;&gt;ROW('Списки блоков'!$G$3)),0),0)),"","Закупки,")
&amp;IF(ISERROR(MATCH(1,INDEX(('Списки блоков'!$H$2:$H986=B62)*(ROW('Списки блоков'!$H$2:$H986)&lt;&gt;ROW('Списки блоков'!$H$3)),0),0)),"","ИнфоБлок,")
&amp;IF(ISERROR(MATCH(1,INDEX(('Списки блоков'!$I$2:$I986=B62)*(ROW('Списки блоков'!$I$2:$I986)&lt;&gt;ROW('Списки блоков'!$I$3)),0),0)),"","КГ,")
&amp;IF(ISERROR(MATCH(1,INDEX(('Списки блоков'!$J$2:$J986=B62)*(ROW('Списки блоков'!$J$2:$J986)&lt;&gt;ROW('Списки блоков'!$J$3)),0),0)),"","МП,")
&amp;IF(ISERROR(MATCH(1,INDEX(('Списки блоков'!$K$2:$K986=B62)*(ROW('Списки блоков'!$K$2:$K986)&lt;&gt;ROW('Списки блоков'!$K$3)),0),0)),"","Профорги,")
&amp;IF(ISERROR(MATCH(1,INDEX(('Списки блоков'!$L$2:$L986=B62)*(ROW('Списки блоков'!$L$2:$L986)&lt;&gt;ROW('Списки блоков'!$L$3)),0),0)),"","Спонсоры,")
&amp;IF(ISERROR(MATCH(1,INDEX(('Списки блоков'!$M$2:$M986=B62)*(ROW('Списки блоков'!$M$2:$M986)&lt;&gt;ROW('Списки блоков'!$M$3)),0),0)),"","Склад,")
&amp;IF(ISERROR(MATCH(1,INDEX(('Списки блоков'!$N$2:$N986=B62)*(ROW('Списки блоков'!$N$2:$N986)&lt;&gt;ROW('Списки блоков'!$N$3)),0),0)),"","Сценаристы,")
&amp;IF(ISERROR(MATCH(1,INDEX(('Списки блоков'!$O$2:$O986=B62)*(ROW('Списки блоков'!$O$2:$O986)&lt;&gt;ROW('Списки блоков'!$O$3)),0),0)),"","Техники,")
&amp;IF(ISERROR(MATCH(1,INDEX(('Списки блоков'!$P$2:$P986=B62)*(ROW('Списки блоков'!$P$2:$P986)&lt;&gt;ROW('Списки блоков'!$P$3)),0),0)),"","УРС,")
&amp;IF(ISERROR(MATCH(1,INDEX(('Списки блоков'!$Q$2:$Q986=B62)*(ROW('Списки блоков'!$Q$2:$Q986)&lt;&gt;ROW('Списки блоков'!$Q$3)),0),0)),"","Фото,")
&amp;IF(ISERROR(MATCH(1,INDEX((#REF!=B62)*(ROW(#REF!)&lt;&gt;ROW(#REF!)),0),0)),"","ЭкоБлок,")
&amp;IF(ISERROR(MATCH(1,INDEX(('Списки блоков'!$R$2:$R986=B62)*(ROW('Списки блоков'!$R$2:$R986)&lt;&gt;ROW('Списки блоков'!$R$3)),0),0)),"","HR,")
&amp;IF(ISERROR(MATCH(1,INDEX(('Списки блоков'!$S$2:$S986=B62)*(ROW('Списки блоков'!$S$2:$S986)&lt;&gt;ROW('Списки блоков'!$S$3)),0),0)),"","Instagram,")
&amp;IF(ISERROR(MATCH(1,INDEX(('Списки блоков'!$T$2:$T986=B62)*(ROW('Списки блоков'!$T$2:$T986)&lt;&gt;ROW('Списки блоков'!$T$3)),0),0)),"","Zachёt,")
&amp;IF(ISERROR(MATCH(1,INDEX(('Списки блоков'!$U$2:$U986=B62)*(ROW('Списки блоков'!$U$2:$U986)&lt;&gt;ROW('Списки блоков'!$U$3)),0),0)),"","IT,")
&amp;IF(ISERROR(MATCH(1,INDEX(('Списки блоков'!$V$2:$V986=B62)*(ROW('Списки блоков'!$V$2:$V986)&lt;&gt;ROW('Списки блоков'!$V$3)),0),0)),"","ДК,")
</f>
        <v>Декораторы,Закупки,Фото,HR,</v>
      </c>
      <c r="F62" s="14">
        <v>8.9200526042E10</v>
      </c>
      <c r="G62" s="12" t="s">
        <v>309</v>
      </c>
      <c r="H62" s="10" t="s">
        <v>310</v>
      </c>
      <c r="I62" s="10" t="s">
        <v>311</v>
      </c>
      <c r="J62" s="6" t="s">
        <v>22</v>
      </c>
    </row>
    <row r="63">
      <c r="A63" s="10" t="s">
        <v>312</v>
      </c>
      <c r="B63" s="2" t="str">
        <f t="shared" si="4"/>
        <v>Кукузей Никита</v>
      </c>
      <c r="C63" s="9">
        <v>201.0</v>
      </c>
      <c r="D63" s="10" t="s">
        <v>313</v>
      </c>
      <c r="E63" s="2" t="str">
        <f t="array" ref="E63">IF(ISERROR(MATCH(1,INDEX(('Списки блоков'!$B$2:$B986=B63)*(ROW('Списки блоков'!$B$2:$B986)&lt;&gt;ROW('Списки блоков'!$B$3)),0),0)),"","БДНС,")
&amp;IF(ISERROR(MATCH(1,INDEX(('Списки блоков'!$C$2:$C986=B63)*(ROW('Списки блоков'!$C$2:$C986)&lt;&gt;ROW('Списки блоков'!$C$3)),0),0)),"","Видеолаба,")
&amp;IF(ISERROR(MATCH(1,INDEX(('Списки блоков'!$D$2:$D986=B63)*(ROW('Списки блоков'!$D$2:$D986)&lt;&gt;ROW('Списки блоков'!$D$3)),0),0)),"","Декораторы,")
&amp;IF(ISERROR(MATCH(1,INDEX(('Списки блоков'!$E$2:$E986=B63)*(ROW('Списки блоков'!$E$2:$E986)&lt;&gt;ROW('Списки блоков'!$E$3)),0),0)),"","Дизайн,")
&amp;IF(ISERROR(MATCH(1,INDEX(('Списки блоков'!$F$2:$F986=B63)*(ROW('Списки блоков'!$F$2:$F986)&lt;&gt;ROW('Списки блоков'!$F$3)),0),0)),"","Досуг,")
&amp;IF(ISERROR(MATCH(1,INDEX(('Списки блоков'!$G$2:$G986=B63)*(ROW('Списки блоков'!$G$2:$G986)&lt;&gt;ROW('Списки блоков'!$G$3)),0),0)),"","Закупки,")
&amp;IF(ISERROR(MATCH(1,INDEX(('Списки блоков'!$H$2:$H986=B63)*(ROW('Списки блоков'!$H$2:$H986)&lt;&gt;ROW('Списки блоков'!$H$3)),0),0)),"","ИнфоБлок,")
&amp;IF(ISERROR(MATCH(1,INDEX(('Списки блоков'!$I$2:$I986=B63)*(ROW('Списки блоков'!$I$2:$I986)&lt;&gt;ROW('Списки блоков'!$I$3)),0),0)),"","КГ,")
&amp;IF(ISERROR(MATCH(1,INDEX(('Списки блоков'!$J$2:$J986=B63)*(ROW('Списки блоков'!$J$2:$J986)&lt;&gt;ROW('Списки блоков'!$J$3)),0),0)),"","МП,")
&amp;IF(ISERROR(MATCH(1,INDEX(('Списки блоков'!$K$2:$K986=B63)*(ROW('Списки блоков'!$K$2:$K986)&lt;&gt;ROW('Списки блоков'!$K$3)),0),0)),"","Профорги,")
&amp;IF(ISERROR(MATCH(1,INDEX(('Списки блоков'!$L$2:$L986=B63)*(ROW('Списки блоков'!$L$2:$L986)&lt;&gt;ROW('Списки блоков'!$L$3)),0),0)),"","Спонсоры,")
&amp;IF(ISERROR(MATCH(1,INDEX(('Списки блоков'!$M$2:$M986=B63)*(ROW('Списки блоков'!$M$2:$M986)&lt;&gt;ROW('Списки блоков'!$M$3)),0),0)),"","Склад,")
&amp;IF(ISERROR(MATCH(1,INDEX(('Списки блоков'!$N$2:$N986=B63)*(ROW('Списки блоков'!$N$2:$N986)&lt;&gt;ROW('Списки блоков'!$N$3)),0),0)),"","Сценаристы,")
&amp;IF(ISERROR(MATCH(1,INDEX(('Списки блоков'!$O$2:$O986=B63)*(ROW('Списки блоков'!$O$2:$O986)&lt;&gt;ROW('Списки блоков'!$O$3)),0),0)),"","Техники,")
&amp;IF(ISERROR(MATCH(1,INDEX(('Списки блоков'!$P$2:$P986=B63)*(ROW('Списки блоков'!$P$2:$P986)&lt;&gt;ROW('Списки блоков'!$P$3)),0),0)),"","УРС,")
&amp;IF(ISERROR(MATCH(1,INDEX(('Списки блоков'!$Q$2:$Q986=B63)*(ROW('Списки блоков'!$Q$2:$Q986)&lt;&gt;ROW('Списки блоков'!$Q$3)),0),0)),"","Фото,")
&amp;IF(ISERROR(MATCH(1,INDEX((#REF!=B63)*(ROW(#REF!)&lt;&gt;ROW(#REF!)),0),0)),"","ЭкоБлок,")
&amp;IF(ISERROR(MATCH(1,INDEX(('Списки блоков'!$R$2:$R986=B63)*(ROW('Списки блоков'!$R$2:$R986)&lt;&gt;ROW('Списки блоков'!$R$3)),0),0)),"","HR,")
&amp;IF(ISERROR(MATCH(1,INDEX(('Списки блоков'!$S$2:$S986=B63)*(ROW('Списки блоков'!$S$2:$S986)&lt;&gt;ROW('Списки блоков'!$S$3)),0),0)),"","Instagram,")
&amp;IF(ISERROR(MATCH(1,INDEX(('Списки блоков'!$T$2:$T986=B63)*(ROW('Списки блоков'!$T$2:$T986)&lt;&gt;ROW('Списки блоков'!$T$3)),0),0)),"","Zachёt,")
&amp;IF(ISERROR(MATCH(1,INDEX(('Списки блоков'!$U$2:$U986=B63)*(ROW('Списки блоков'!$U$2:$U986)&lt;&gt;ROW('Списки блоков'!$U$3)),0),0)),"","IT,")
&amp;IF(ISERROR(MATCH(1,INDEX(('Списки блоков'!$V$2:$V986=B63)*(ROW('Списки блоков'!$V$2:$V986)&lt;&gt;ROW('Списки блоков'!$V$3)),0),0)),"","ДК,")
</f>
        <v>Сценаристы,IT,ДК,</v>
      </c>
      <c r="F63" s="14">
        <v>8.9831164899E10</v>
      </c>
      <c r="G63" s="10" t="s">
        <v>314</v>
      </c>
      <c r="H63" s="10" t="s">
        <v>315</v>
      </c>
      <c r="I63" s="10" t="s">
        <v>316</v>
      </c>
      <c r="J63" s="6" t="s">
        <v>22</v>
      </c>
    </row>
    <row r="64">
      <c r="A64" s="7" t="s">
        <v>317</v>
      </c>
      <c r="B64" s="7" t="s">
        <v>318</v>
      </c>
      <c r="C64" s="3">
        <v>325.0</v>
      </c>
      <c r="D64" s="2" t="s">
        <v>319</v>
      </c>
      <c r="E64" s="2" t="str">
        <f t="array" ref="E64">IF(ISERROR(MATCH(1,INDEX(('Списки блоков'!$B$2:$B986=B64)*(ROW('Списки блоков'!$B$2:$B986)&lt;&gt;ROW('Списки блоков'!$B$3)),0),0)),"","БДНС,")
&amp;IF(ISERROR(MATCH(1,INDEX(('Списки блоков'!$C$2:$C986=B64)*(ROW('Списки блоков'!$C$2:$C986)&lt;&gt;ROW('Списки блоков'!$C$3)),0),0)),"","Видеолаба,")
&amp;IF(ISERROR(MATCH(1,INDEX(('Списки блоков'!$D$2:$D986=B64)*(ROW('Списки блоков'!$D$2:$D986)&lt;&gt;ROW('Списки блоков'!$D$3)),0),0)),"","Декораторы,")
&amp;IF(ISERROR(MATCH(1,INDEX(('Списки блоков'!$E$2:$E986=B64)*(ROW('Списки блоков'!$E$2:$E986)&lt;&gt;ROW('Списки блоков'!$E$3)),0),0)),"","Дизайн,")
&amp;IF(ISERROR(MATCH(1,INDEX(('Списки блоков'!$F$2:$F986=B64)*(ROW('Списки блоков'!$F$2:$F986)&lt;&gt;ROW('Списки блоков'!$F$3)),0),0)),"","Досуг,")
&amp;IF(ISERROR(MATCH(1,INDEX(('Списки блоков'!$G$2:$G986=B64)*(ROW('Списки блоков'!$G$2:$G986)&lt;&gt;ROW('Списки блоков'!$G$3)),0),0)),"","Закупки,")
&amp;IF(ISERROR(MATCH(1,INDEX(('Списки блоков'!$H$2:$H986=B64)*(ROW('Списки блоков'!$H$2:$H986)&lt;&gt;ROW('Списки блоков'!$H$3)),0),0)),"","ИнфоБлок,")
&amp;IF(ISERROR(MATCH(1,INDEX(('Списки блоков'!$I$2:$I986=B64)*(ROW('Списки блоков'!$I$2:$I986)&lt;&gt;ROW('Списки блоков'!$I$3)),0),0)),"","КГ,")
&amp;IF(ISERROR(MATCH(1,INDEX(('Списки блоков'!$J$2:$J986=B64)*(ROW('Списки блоков'!$J$2:$J986)&lt;&gt;ROW('Списки блоков'!$J$3)),0),0)),"","МП,")
&amp;IF(ISERROR(MATCH(1,INDEX(('Списки блоков'!$K$2:$K986=B64)*(ROW('Списки блоков'!$K$2:$K986)&lt;&gt;ROW('Списки блоков'!$K$3)),0),0)),"","Профорги,")
&amp;IF(ISERROR(MATCH(1,INDEX(('Списки блоков'!$L$2:$L986=B64)*(ROW('Списки блоков'!$L$2:$L986)&lt;&gt;ROW('Списки блоков'!$L$3)),0),0)),"","Спонсоры,")
&amp;IF(ISERROR(MATCH(1,INDEX(('Списки блоков'!$M$2:$M986=B64)*(ROW('Списки блоков'!$M$2:$M986)&lt;&gt;ROW('Списки блоков'!$M$3)),0),0)),"","Склад,")
&amp;IF(ISERROR(MATCH(1,INDEX(('Списки блоков'!$N$2:$N986=B64)*(ROW('Списки блоков'!$N$2:$N986)&lt;&gt;ROW('Списки блоков'!$N$3)),0),0)),"","Сценаристы,")
&amp;IF(ISERROR(MATCH(1,INDEX(('Списки блоков'!$O$2:$O986=B64)*(ROW('Списки блоков'!$O$2:$O986)&lt;&gt;ROW('Списки блоков'!$O$3)),0),0)),"","Техники,")
&amp;IF(ISERROR(MATCH(1,INDEX(('Списки блоков'!$P$2:$P986=B64)*(ROW('Списки блоков'!$P$2:$P986)&lt;&gt;ROW('Списки блоков'!$P$3)),0),0)),"","УРС,")
&amp;IF(ISERROR(MATCH(1,INDEX(('Списки блоков'!$Q$2:$Q986=B64)*(ROW('Списки блоков'!$Q$2:$Q986)&lt;&gt;ROW('Списки блоков'!$Q$3)),0),0)),"","Фото,")
&amp;IF(ISERROR(MATCH(1,INDEX((#REF!=B64)*(ROW(#REF!)&lt;&gt;ROW(#REF!)),0),0)),"","ЭкоБлок,")
&amp;IF(ISERROR(MATCH(1,INDEX(('Списки блоков'!$R$2:$R986=B64)*(ROW('Списки блоков'!$R$2:$R986)&lt;&gt;ROW('Списки блоков'!$R$3)),0),0)),"","HR,")
&amp;IF(ISERROR(MATCH(1,INDEX(('Списки блоков'!$S$2:$S986=B64)*(ROW('Списки блоков'!$S$2:$S986)&lt;&gt;ROW('Списки блоков'!$S$3)),0),0)),"","Instagram,")
&amp;IF(ISERROR(MATCH(1,INDEX(('Списки блоков'!$T$2:$T986=B64)*(ROW('Списки блоков'!$T$2:$T986)&lt;&gt;ROW('Списки блоков'!$T$3)),0),0)),"","Zachёt,")
&amp;IF(ISERROR(MATCH(1,INDEX(('Списки блоков'!$U$2:$U986=B64)*(ROW('Списки блоков'!$U$2:$U986)&lt;&gt;ROW('Списки блоков'!$U$3)),0),0)),"","IT,")
&amp;IF(ISERROR(MATCH(1,INDEX(('Списки блоков'!$V$2:$V986=B64)*(ROW('Списки блоков'!$V$2:$V986)&lt;&gt;ROW('Списки блоков'!$V$3)),0),0)),"","ДК,")
</f>
        <v>МП,Zachёt,</v>
      </c>
      <c r="F64" s="8">
        <v>8.9652028486E10</v>
      </c>
      <c r="G64" s="5" t="s">
        <v>320</v>
      </c>
      <c r="H64" s="5" t="s">
        <v>321</v>
      </c>
      <c r="I64" s="2" t="s">
        <v>322</v>
      </c>
      <c r="J64" s="7" t="s">
        <v>22</v>
      </c>
    </row>
    <row r="65">
      <c r="A65" s="10" t="s">
        <v>323</v>
      </c>
      <c r="B65" s="2" t="str">
        <f t="shared" ref="B65:B114" si="5">LEFT(A65,FIND(CHAR(160),SUBSTITUTE(A65," ",CHAR(160),2)) - 1)</f>
        <v>Куницкий Даниил</v>
      </c>
      <c r="C65" s="9">
        <v>113.0</v>
      </c>
      <c r="D65" s="10" t="s">
        <v>324</v>
      </c>
      <c r="E65" s="2" t="str">
        <f t="array" ref="E65">IF(ISERROR(MATCH(1,INDEX(('Списки блоков'!$B$2:$B986=B65)*(ROW('Списки блоков'!$B$2:$B986)&lt;&gt;ROW('Списки блоков'!$B$3)),0),0)),"","БДНС,")
&amp;IF(ISERROR(MATCH(1,INDEX(('Списки блоков'!$C$2:$C986=B65)*(ROW('Списки блоков'!$C$2:$C986)&lt;&gt;ROW('Списки блоков'!$C$3)),0),0)),"","Видеолаба,")
&amp;IF(ISERROR(MATCH(1,INDEX(('Списки блоков'!$D$2:$D986=B65)*(ROW('Списки блоков'!$D$2:$D986)&lt;&gt;ROW('Списки блоков'!$D$3)),0),0)),"","Декораторы,")
&amp;IF(ISERROR(MATCH(1,INDEX(('Списки блоков'!$E$2:$E986=B65)*(ROW('Списки блоков'!$E$2:$E986)&lt;&gt;ROW('Списки блоков'!$E$3)),0),0)),"","Дизайн,")
&amp;IF(ISERROR(MATCH(1,INDEX(('Списки блоков'!$F$2:$F986=B65)*(ROW('Списки блоков'!$F$2:$F986)&lt;&gt;ROW('Списки блоков'!$F$3)),0),0)),"","Досуг,")
&amp;IF(ISERROR(MATCH(1,INDEX(('Списки блоков'!$G$2:$G986=B65)*(ROW('Списки блоков'!$G$2:$G986)&lt;&gt;ROW('Списки блоков'!$G$3)),0),0)),"","Закупки,")
&amp;IF(ISERROR(MATCH(1,INDEX(('Списки блоков'!$H$2:$H986=B65)*(ROW('Списки блоков'!$H$2:$H986)&lt;&gt;ROW('Списки блоков'!$H$3)),0),0)),"","ИнфоБлок,")
&amp;IF(ISERROR(MATCH(1,INDEX(('Списки блоков'!$I$2:$I986=B65)*(ROW('Списки блоков'!$I$2:$I986)&lt;&gt;ROW('Списки блоков'!$I$3)),0),0)),"","КГ,")
&amp;IF(ISERROR(MATCH(1,INDEX(('Списки блоков'!$J$2:$J986=B65)*(ROW('Списки блоков'!$J$2:$J986)&lt;&gt;ROW('Списки блоков'!$J$3)),0),0)),"","МП,")
&amp;IF(ISERROR(MATCH(1,INDEX(('Списки блоков'!$K$2:$K986=B65)*(ROW('Списки блоков'!$K$2:$K986)&lt;&gt;ROW('Списки блоков'!$K$3)),0),0)),"","Профорги,")
&amp;IF(ISERROR(MATCH(1,INDEX(('Списки блоков'!$L$2:$L986=B65)*(ROW('Списки блоков'!$L$2:$L986)&lt;&gt;ROW('Списки блоков'!$L$3)),0),0)),"","Спонсоры,")
&amp;IF(ISERROR(MATCH(1,INDEX(('Списки блоков'!$M$2:$M986=B65)*(ROW('Списки блоков'!$M$2:$M986)&lt;&gt;ROW('Списки блоков'!$M$3)),0),0)),"","Склад,")
&amp;IF(ISERROR(MATCH(1,INDEX(('Списки блоков'!$N$2:$N986=B65)*(ROW('Списки блоков'!$N$2:$N986)&lt;&gt;ROW('Списки блоков'!$N$3)),0),0)),"","Сценаристы,")
&amp;IF(ISERROR(MATCH(1,INDEX(('Списки блоков'!$O$2:$O986=B65)*(ROW('Списки блоков'!$O$2:$O986)&lt;&gt;ROW('Списки блоков'!$O$3)),0),0)),"","Техники,")
&amp;IF(ISERROR(MATCH(1,INDEX(('Списки блоков'!$P$2:$P986=B65)*(ROW('Списки блоков'!$P$2:$P986)&lt;&gt;ROW('Списки блоков'!$P$3)),0),0)),"","УРС,")
&amp;IF(ISERROR(MATCH(1,INDEX(('Списки блоков'!$Q$2:$Q986=B65)*(ROW('Списки блоков'!$Q$2:$Q986)&lt;&gt;ROW('Списки блоков'!$Q$3)),0),0)),"","Фото,")
&amp;IF(ISERROR(MATCH(1,INDEX((#REF!=B65)*(ROW(#REF!)&lt;&gt;ROW(#REF!)),0),0)),"","ЭкоБлок,")
&amp;IF(ISERROR(MATCH(1,INDEX(('Списки блоков'!$R$2:$R986=B65)*(ROW('Списки блоков'!$R$2:$R986)&lt;&gt;ROW('Списки блоков'!$R$3)),0),0)),"","HR,")
&amp;IF(ISERROR(MATCH(1,INDEX(('Списки блоков'!$S$2:$S986=B65)*(ROW('Списки блоков'!$S$2:$S986)&lt;&gt;ROW('Списки блоков'!$S$3)),0),0)),"","Instagram,")
&amp;IF(ISERROR(MATCH(1,INDEX(('Списки блоков'!$T$2:$T986=B65)*(ROW('Списки блоков'!$T$2:$T986)&lt;&gt;ROW('Списки блоков'!$T$3)),0),0)),"","Zachёt,")
&amp;IF(ISERROR(MATCH(1,INDEX(('Списки блоков'!$U$2:$U986=B65)*(ROW('Списки блоков'!$U$2:$U986)&lt;&gt;ROW('Списки блоков'!$U$3)),0),0)),"","IT,")
&amp;IF(ISERROR(MATCH(1,INDEX(('Списки блоков'!$V$2:$V986=B65)*(ROW('Списки блоков'!$V$2:$V986)&lt;&gt;ROW('Списки блоков'!$V$3)),0),0)),"","ДК,")
</f>
        <v>Видеолаба,Декораторы,Дизайн,КГ,</v>
      </c>
      <c r="F65" s="9">
        <v>8.9258491021E10</v>
      </c>
      <c r="G65" s="12" t="s">
        <v>325</v>
      </c>
      <c r="H65" s="12" t="s">
        <v>326</v>
      </c>
      <c r="I65" s="10" t="s">
        <v>327</v>
      </c>
      <c r="J65" s="6" t="s">
        <v>15</v>
      </c>
    </row>
    <row r="66">
      <c r="A66" s="10" t="s">
        <v>328</v>
      </c>
      <c r="B66" s="2" t="str">
        <f t="shared" si="5"/>
        <v>Кураева Валентина</v>
      </c>
      <c r="C66" s="9">
        <v>212.0</v>
      </c>
      <c r="D66" s="10" t="s">
        <v>50</v>
      </c>
      <c r="E66" s="2" t="str">
        <f t="array" ref="E66">IF(ISERROR(MATCH(1,INDEX(('Списки блоков'!$B$2:$B986=B66)*(ROW('Списки блоков'!$B$2:$B986)&lt;&gt;ROW('Списки блоков'!$B$3)),0),0)),"","БДНС,")
&amp;IF(ISERROR(MATCH(1,INDEX(('Списки блоков'!$C$2:$C986=B66)*(ROW('Списки блоков'!$C$2:$C986)&lt;&gt;ROW('Списки блоков'!$C$3)),0),0)),"","Видеолаба,")
&amp;IF(ISERROR(MATCH(1,INDEX(('Списки блоков'!$D$2:$D986=B66)*(ROW('Списки блоков'!$D$2:$D986)&lt;&gt;ROW('Списки блоков'!$D$3)),0),0)),"","Декораторы,")
&amp;IF(ISERROR(MATCH(1,INDEX(('Списки блоков'!$E$2:$E986=B66)*(ROW('Списки блоков'!$E$2:$E986)&lt;&gt;ROW('Списки блоков'!$E$3)),0),0)),"","Дизайн,")
&amp;IF(ISERROR(MATCH(1,INDEX(('Списки блоков'!$F$2:$F986=B66)*(ROW('Списки блоков'!$F$2:$F986)&lt;&gt;ROW('Списки блоков'!$F$3)),0),0)),"","Досуг,")
&amp;IF(ISERROR(MATCH(1,INDEX(('Списки блоков'!$G$2:$G986=B66)*(ROW('Списки блоков'!$G$2:$G986)&lt;&gt;ROW('Списки блоков'!$G$3)),0),0)),"","Закупки,")
&amp;IF(ISERROR(MATCH(1,INDEX(('Списки блоков'!$H$2:$H986=B66)*(ROW('Списки блоков'!$H$2:$H986)&lt;&gt;ROW('Списки блоков'!$H$3)),0),0)),"","ИнфоБлок,")
&amp;IF(ISERROR(MATCH(1,INDEX(('Списки блоков'!$I$2:$I986=B66)*(ROW('Списки блоков'!$I$2:$I986)&lt;&gt;ROW('Списки блоков'!$I$3)),0),0)),"","КГ,")
&amp;IF(ISERROR(MATCH(1,INDEX(('Списки блоков'!$J$2:$J986=B66)*(ROW('Списки блоков'!$J$2:$J986)&lt;&gt;ROW('Списки блоков'!$J$3)),0),0)),"","МП,")
&amp;IF(ISERROR(MATCH(1,INDEX(('Списки блоков'!$K$2:$K986=B66)*(ROW('Списки блоков'!$K$2:$K986)&lt;&gt;ROW('Списки блоков'!$K$3)),0),0)),"","Профорги,")
&amp;IF(ISERROR(MATCH(1,INDEX(('Списки блоков'!$L$2:$L986=B66)*(ROW('Списки блоков'!$L$2:$L986)&lt;&gt;ROW('Списки блоков'!$L$3)),0),0)),"","Спонсоры,")
&amp;IF(ISERROR(MATCH(1,INDEX(('Списки блоков'!$M$2:$M986=B66)*(ROW('Списки блоков'!$M$2:$M986)&lt;&gt;ROW('Списки блоков'!$M$3)),0),0)),"","Склад,")
&amp;IF(ISERROR(MATCH(1,INDEX(('Списки блоков'!$N$2:$N986=B66)*(ROW('Списки блоков'!$N$2:$N986)&lt;&gt;ROW('Списки блоков'!$N$3)),0),0)),"","Сценаристы,")
&amp;IF(ISERROR(MATCH(1,INDEX(('Списки блоков'!$O$2:$O986=B66)*(ROW('Списки блоков'!$O$2:$O986)&lt;&gt;ROW('Списки блоков'!$O$3)),0),0)),"","Техники,")
&amp;IF(ISERROR(MATCH(1,INDEX(('Списки блоков'!$P$2:$P986=B66)*(ROW('Списки блоков'!$P$2:$P986)&lt;&gt;ROW('Списки блоков'!$P$3)),0),0)),"","УРС,")
&amp;IF(ISERROR(MATCH(1,INDEX(('Списки блоков'!$Q$2:$Q986=B66)*(ROW('Списки блоков'!$Q$2:$Q986)&lt;&gt;ROW('Списки блоков'!$Q$3)),0),0)),"","Фото,")
&amp;IF(ISERROR(MATCH(1,INDEX((#REF!=B66)*(ROW(#REF!)&lt;&gt;ROW(#REF!)),0),0)),"","ЭкоБлок,")
&amp;IF(ISERROR(MATCH(1,INDEX(('Списки блоков'!$R$2:$R986=B66)*(ROW('Списки блоков'!$R$2:$R986)&lt;&gt;ROW('Списки блоков'!$R$3)),0),0)),"","HR,")
&amp;IF(ISERROR(MATCH(1,INDEX(('Списки блоков'!$S$2:$S986=B66)*(ROW('Списки блоков'!$S$2:$S986)&lt;&gt;ROW('Списки блоков'!$S$3)),0),0)),"","Instagram,")
&amp;IF(ISERROR(MATCH(1,INDEX(('Списки блоков'!$T$2:$T986=B66)*(ROW('Списки блоков'!$T$2:$T986)&lt;&gt;ROW('Списки блоков'!$T$3)),0),0)),"","Zachёt,")
&amp;IF(ISERROR(MATCH(1,INDEX(('Списки блоков'!$U$2:$U986=B66)*(ROW('Списки блоков'!$U$2:$U986)&lt;&gt;ROW('Списки блоков'!$U$3)),0),0)),"","IT,")
&amp;IF(ISERROR(MATCH(1,INDEX(('Списки блоков'!$V$2:$V986=B66)*(ROW('Списки блоков'!$V$2:$V986)&lt;&gt;ROW('Списки блоков'!$V$3)),0),0)),"","ДК,")
</f>
        <v>Декораторы,ИнфоБлок,КГ,Сценаристы,ДК,</v>
      </c>
      <c r="F66" s="14">
        <v>8.937659321E10</v>
      </c>
      <c r="G66" s="12" t="s">
        <v>329</v>
      </c>
      <c r="H66" s="15" t="s">
        <v>330</v>
      </c>
      <c r="I66" s="10" t="s">
        <v>331</v>
      </c>
      <c r="J66" s="6" t="s">
        <v>22</v>
      </c>
    </row>
    <row r="67">
      <c r="A67" s="10" t="s">
        <v>332</v>
      </c>
      <c r="B67" s="2" t="str">
        <f t="shared" si="5"/>
        <v>Курбанов Арслан</v>
      </c>
      <c r="C67" s="9">
        <v>106.0</v>
      </c>
      <c r="D67" s="10" t="s">
        <v>50</v>
      </c>
      <c r="E67" s="2" t="str">
        <f t="array" ref="E67">IF(ISERROR(MATCH(1,INDEX(('Списки блоков'!$B$2:$B986=B67)*(ROW('Списки блоков'!$B$2:$B986)&lt;&gt;ROW('Списки блоков'!$B$3)),0),0)),"","БДНС,")
&amp;IF(ISERROR(MATCH(1,INDEX(('Списки блоков'!$C$2:$C986=B67)*(ROW('Списки блоков'!$C$2:$C986)&lt;&gt;ROW('Списки блоков'!$C$3)),0),0)),"","Видеолаба,")
&amp;IF(ISERROR(MATCH(1,INDEX(('Списки блоков'!$D$2:$D986=B67)*(ROW('Списки блоков'!$D$2:$D986)&lt;&gt;ROW('Списки блоков'!$D$3)),0),0)),"","Декораторы,")
&amp;IF(ISERROR(MATCH(1,INDEX(('Списки блоков'!$E$2:$E986=B67)*(ROW('Списки блоков'!$E$2:$E986)&lt;&gt;ROW('Списки блоков'!$E$3)),0),0)),"","Дизайн,")
&amp;IF(ISERROR(MATCH(1,INDEX(('Списки блоков'!$F$2:$F986=B67)*(ROW('Списки блоков'!$F$2:$F986)&lt;&gt;ROW('Списки блоков'!$F$3)),0),0)),"","Досуг,")
&amp;IF(ISERROR(MATCH(1,INDEX(('Списки блоков'!$G$2:$G986=B67)*(ROW('Списки блоков'!$G$2:$G986)&lt;&gt;ROW('Списки блоков'!$G$3)),0),0)),"","Закупки,")
&amp;IF(ISERROR(MATCH(1,INDEX(('Списки блоков'!$H$2:$H986=B67)*(ROW('Списки блоков'!$H$2:$H986)&lt;&gt;ROW('Списки блоков'!$H$3)),0),0)),"","ИнфоБлок,")
&amp;IF(ISERROR(MATCH(1,INDEX(('Списки блоков'!$I$2:$I986=B67)*(ROW('Списки блоков'!$I$2:$I986)&lt;&gt;ROW('Списки блоков'!$I$3)),0),0)),"","КГ,")
&amp;IF(ISERROR(MATCH(1,INDEX(('Списки блоков'!$J$2:$J986=B67)*(ROW('Списки блоков'!$J$2:$J986)&lt;&gt;ROW('Списки блоков'!$J$3)),0),0)),"","МП,")
&amp;IF(ISERROR(MATCH(1,INDEX(('Списки блоков'!$K$2:$K986=B67)*(ROW('Списки блоков'!$K$2:$K986)&lt;&gt;ROW('Списки блоков'!$K$3)),0),0)),"","Профорги,")
&amp;IF(ISERROR(MATCH(1,INDEX(('Списки блоков'!$L$2:$L986=B67)*(ROW('Списки блоков'!$L$2:$L986)&lt;&gt;ROW('Списки блоков'!$L$3)),0),0)),"","Спонсоры,")
&amp;IF(ISERROR(MATCH(1,INDEX(('Списки блоков'!$M$2:$M986=B67)*(ROW('Списки блоков'!$M$2:$M986)&lt;&gt;ROW('Списки блоков'!$M$3)),0),0)),"","Склад,")
&amp;IF(ISERROR(MATCH(1,INDEX(('Списки блоков'!$N$2:$N986=B67)*(ROW('Списки блоков'!$N$2:$N986)&lt;&gt;ROW('Списки блоков'!$N$3)),0),0)),"","Сценаристы,")
&amp;IF(ISERROR(MATCH(1,INDEX(('Списки блоков'!$O$2:$O986=B67)*(ROW('Списки блоков'!$O$2:$O986)&lt;&gt;ROW('Списки блоков'!$O$3)),0),0)),"","Техники,")
&amp;IF(ISERROR(MATCH(1,INDEX(('Списки блоков'!$P$2:$P986=B67)*(ROW('Списки блоков'!$P$2:$P986)&lt;&gt;ROW('Списки блоков'!$P$3)),0),0)),"","УРС,")
&amp;IF(ISERROR(MATCH(1,INDEX(('Списки блоков'!$Q$2:$Q986=B67)*(ROW('Списки блоков'!$Q$2:$Q986)&lt;&gt;ROW('Списки блоков'!$Q$3)),0),0)),"","Фото,")
&amp;IF(ISERROR(MATCH(1,INDEX((#REF!=B67)*(ROW(#REF!)&lt;&gt;ROW(#REF!)),0),0)),"","ЭкоБлок,")
&amp;IF(ISERROR(MATCH(1,INDEX(('Списки блоков'!$R$2:$R986=B67)*(ROW('Списки блоков'!$R$2:$R986)&lt;&gt;ROW('Списки блоков'!$R$3)),0),0)),"","HR,")
&amp;IF(ISERROR(MATCH(1,INDEX(('Списки блоков'!$S$2:$S986=B67)*(ROW('Списки блоков'!$S$2:$S986)&lt;&gt;ROW('Списки блоков'!$S$3)),0),0)),"","Instagram,")
&amp;IF(ISERROR(MATCH(1,INDEX(('Списки блоков'!$T$2:$T986=B67)*(ROW('Списки блоков'!$T$2:$T986)&lt;&gt;ROW('Списки блоков'!$T$3)),0),0)),"","Zachёt,")
&amp;IF(ISERROR(MATCH(1,INDEX(('Списки блоков'!$U$2:$U986=B67)*(ROW('Списки блоков'!$U$2:$U986)&lt;&gt;ROW('Списки блоков'!$U$3)),0),0)),"","IT,")
&amp;IF(ISERROR(MATCH(1,INDEX(('Списки блоков'!$V$2:$V986=B67)*(ROW('Списки блоков'!$V$2:$V986)&lt;&gt;ROW('Списки блоков'!$V$3)),0),0)),"","ДК,")
</f>
        <v>Профорги,Спонсоры,</v>
      </c>
      <c r="F67" s="14">
        <v>8.9874735911E10</v>
      </c>
      <c r="G67" s="12" t="s">
        <v>333</v>
      </c>
      <c r="H67" s="12" t="s">
        <v>334</v>
      </c>
      <c r="I67" s="10" t="s">
        <v>335</v>
      </c>
      <c r="J67" s="6" t="s">
        <v>22</v>
      </c>
    </row>
    <row r="68">
      <c r="A68" s="7" t="s">
        <v>336</v>
      </c>
      <c r="B68" s="2" t="str">
        <f t="shared" si="5"/>
        <v>Курганский Леонид</v>
      </c>
      <c r="C68" s="3">
        <v>328.0</v>
      </c>
      <c r="D68" s="2" t="s">
        <v>337</v>
      </c>
      <c r="E68" s="2" t="str">
        <f t="array" ref="E68">IF(ISERROR(MATCH(1,INDEX(('Списки блоков'!$B$2:$B986=B68)*(ROW('Списки блоков'!$B$2:$B986)&lt;&gt;ROW('Списки блоков'!$B$3)),0),0)),"","БДНС,")
&amp;IF(ISERROR(MATCH(1,INDEX(('Списки блоков'!$C$2:$C986=B68)*(ROW('Списки блоков'!$C$2:$C986)&lt;&gt;ROW('Списки блоков'!$C$3)),0),0)),"","Видеолаба,")
&amp;IF(ISERROR(MATCH(1,INDEX(('Списки блоков'!$D$2:$D986=B68)*(ROW('Списки блоков'!$D$2:$D986)&lt;&gt;ROW('Списки блоков'!$D$3)),0),0)),"","Декораторы,")
&amp;IF(ISERROR(MATCH(1,INDEX(('Списки блоков'!$E$2:$E986=B68)*(ROW('Списки блоков'!$E$2:$E986)&lt;&gt;ROW('Списки блоков'!$E$3)),0),0)),"","Дизайн,")
&amp;IF(ISERROR(MATCH(1,INDEX(('Списки блоков'!$F$2:$F986=B68)*(ROW('Списки блоков'!$F$2:$F986)&lt;&gt;ROW('Списки блоков'!$F$3)),0),0)),"","Досуг,")
&amp;IF(ISERROR(MATCH(1,INDEX(('Списки блоков'!$G$2:$G986=B68)*(ROW('Списки блоков'!$G$2:$G986)&lt;&gt;ROW('Списки блоков'!$G$3)),0),0)),"","Закупки,")
&amp;IF(ISERROR(MATCH(1,INDEX(('Списки блоков'!$H$2:$H986=B68)*(ROW('Списки блоков'!$H$2:$H986)&lt;&gt;ROW('Списки блоков'!$H$3)),0),0)),"","ИнфоБлок,")
&amp;IF(ISERROR(MATCH(1,INDEX(('Списки блоков'!$I$2:$I986=B68)*(ROW('Списки блоков'!$I$2:$I986)&lt;&gt;ROW('Списки блоков'!$I$3)),0),0)),"","КГ,")
&amp;IF(ISERROR(MATCH(1,INDEX(('Списки блоков'!$J$2:$J986=B68)*(ROW('Списки блоков'!$J$2:$J986)&lt;&gt;ROW('Списки блоков'!$J$3)),0),0)),"","МП,")
&amp;IF(ISERROR(MATCH(1,INDEX(('Списки блоков'!$K$2:$K986=B68)*(ROW('Списки блоков'!$K$2:$K986)&lt;&gt;ROW('Списки блоков'!$K$3)),0),0)),"","Профорги,")
&amp;IF(ISERROR(MATCH(1,INDEX(('Списки блоков'!$L$2:$L986=B68)*(ROW('Списки блоков'!$L$2:$L986)&lt;&gt;ROW('Списки блоков'!$L$3)),0),0)),"","Спонсоры,")
&amp;IF(ISERROR(MATCH(1,INDEX(('Списки блоков'!$M$2:$M986=B68)*(ROW('Списки блоков'!$M$2:$M986)&lt;&gt;ROW('Списки блоков'!$M$3)),0),0)),"","Склад,")
&amp;IF(ISERROR(MATCH(1,INDEX(('Списки блоков'!$N$2:$N986=B68)*(ROW('Списки блоков'!$N$2:$N986)&lt;&gt;ROW('Списки блоков'!$N$3)),0),0)),"","Сценаристы,")
&amp;IF(ISERROR(MATCH(1,INDEX(('Списки блоков'!$O$2:$O986=B68)*(ROW('Списки блоков'!$O$2:$O986)&lt;&gt;ROW('Списки блоков'!$O$3)),0),0)),"","Техники,")
&amp;IF(ISERROR(MATCH(1,INDEX(('Списки блоков'!$P$2:$P986=B68)*(ROW('Списки блоков'!$P$2:$P986)&lt;&gt;ROW('Списки блоков'!$P$3)),0),0)),"","УРС,")
&amp;IF(ISERROR(MATCH(1,INDEX(('Списки блоков'!$Q$2:$Q986=B68)*(ROW('Списки блоков'!$Q$2:$Q986)&lt;&gt;ROW('Списки блоков'!$Q$3)),0),0)),"","Фото,")
&amp;IF(ISERROR(MATCH(1,INDEX((#REF!=B68)*(ROW(#REF!)&lt;&gt;ROW(#REF!)),0),0)),"","ЭкоБлок,")
&amp;IF(ISERROR(MATCH(1,INDEX(('Списки блоков'!$R$2:$R986=B68)*(ROW('Списки блоков'!$R$2:$R986)&lt;&gt;ROW('Списки блоков'!$R$3)),0),0)),"","HR,")
&amp;IF(ISERROR(MATCH(1,INDEX(('Списки блоков'!$S$2:$S986=B68)*(ROW('Списки блоков'!$S$2:$S986)&lt;&gt;ROW('Списки блоков'!$S$3)),0),0)),"","Instagram,")
&amp;IF(ISERROR(MATCH(1,INDEX(('Списки блоков'!$T$2:$T986=B68)*(ROW('Списки блоков'!$T$2:$T986)&lt;&gt;ROW('Списки блоков'!$T$3)),0),0)),"","Zachёt,")
&amp;IF(ISERROR(MATCH(1,INDEX(('Списки блоков'!$U$2:$U986=B68)*(ROW('Списки блоков'!$U$2:$U986)&lt;&gt;ROW('Списки блоков'!$U$3)),0),0)),"","IT,")
&amp;IF(ISERROR(MATCH(1,INDEX(('Списки блоков'!$V$2:$V986=B68)*(ROW('Списки блоков'!$V$2:$V986)&lt;&gt;ROW('Списки блоков'!$V$3)),0),0)),"","ДК,")
</f>
        <v>Техники,</v>
      </c>
      <c r="F68" s="4">
        <v>8.9180104888E10</v>
      </c>
      <c r="G68" s="5" t="s">
        <v>338</v>
      </c>
      <c r="H68" s="2" t="s">
        <v>339</v>
      </c>
      <c r="I68" s="2" t="s">
        <v>340</v>
      </c>
      <c r="J68" s="7" t="s">
        <v>22</v>
      </c>
    </row>
    <row r="69">
      <c r="A69" s="10" t="s">
        <v>341</v>
      </c>
      <c r="B69" s="2" t="str">
        <f t="shared" si="5"/>
        <v>Лазарев Глеб</v>
      </c>
      <c r="C69" s="9">
        <v>101.0</v>
      </c>
      <c r="D69" s="10" t="s">
        <v>342</v>
      </c>
      <c r="E69" s="2" t="str">
        <f t="array" ref="E69">IF(ISERROR(MATCH(1,INDEX(('Списки блоков'!$B$2:$B986=B69)*(ROW('Списки блоков'!$B$2:$B986)&lt;&gt;ROW('Списки блоков'!$B$3)),0),0)),"","БДНС,")
&amp;IF(ISERROR(MATCH(1,INDEX(('Списки блоков'!$C$2:$C986=B69)*(ROW('Списки блоков'!$C$2:$C986)&lt;&gt;ROW('Списки блоков'!$C$3)),0),0)),"","Видеолаба,")
&amp;IF(ISERROR(MATCH(1,INDEX(('Списки блоков'!$D$2:$D986=B69)*(ROW('Списки блоков'!$D$2:$D986)&lt;&gt;ROW('Списки блоков'!$D$3)),0),0)),"","Декораторы,")
&amp;IF(ISERROR(MATCH(1,INDEX(('Списки блоков'!$E$2:$E986=B69)*(ROW('Списки блоков'!$E$2:$E986)&lt;&gt;ROW('Списки блоков'!$E$3)),0),0)),"","Дизайн,")
&amp;IF(ISERROR(MATCH(1,INDEX(('Списки блоков'!$F$2:$F986=B69)*(ROW('Списки блоков'!$F$2:$F986)&lt;&gt;ROW('Списки блоков'!$F$3)),0),0)),"","Досуг,")
&amp;IF(ISERROR(MATCH(1,INDEX(('Списки блоков'!$G$2:$G986=B69)*(ROW('Списки блоков'!$G$2:$G986)&lt;&gt;ROW('Списки блоков'!$G$3)),0),0)),"","Закупки,")
&amp;IF(ISERROR(MATCH(1,INDEX(('Списки блоков'!$H$2:$H986=B69)*(ROW('Списки блоков'!$H$2:$H986)&lt;&gt;ROW('Списки блоков'!$H$3)),0),0)),"","ИнфоБлок,")
&amp;IF(ISERROR(MATCH(1,INDEX(('Списки блоков'!$I$2:$I986=B69)*(ROW('Списки блоков'!$I$2:$I986)&lt;&gt;ROW('Списки блоков'!$I$3)),0),0)),"","КГ,")
&amp;IF(ISERROR(MATCH(1,INDEX(('Списки блоков'!$J$2:$J986=B69)*(ROW('Списки блоков'!$J$2:$J986)&lt;&gt;ROW('Списки блоков'!$J$3)),0),0)),"","МП,")
&amp;IF(ISERROR(MATCH(1,INDEX(('Списки блоков'!$K$2:$K986=B69)*(ROW('Списки блоков'!$K$2:$K986)&lt;&gt;ROW('Списки блоков'!$K$3)),0),0)),"","Профорги,")
&amp;IF(ISERROR(MATCH(1,INDEX(('Списки блоков'!$L$2:$L986=B69)*(ROW('Списки блоков'!$L$2:$L986)&lt;&gt;ROW('Списки блоков'!$L$3)),0),0)),"","Спонсоры,")
&amp;IF(ISERROR(MATCH(1,INDEX(('Списки блоков'!$M$2:$M986=B69)*(ROW('Списки блоков'!$M$2:$M986)&lt;&gt;ROW('Списки блоков'!$M$3)),0),0)),"","Склад,")
&amp;IF(ISERROR(MATCH(1,INDEX(('Списки блоков'!$N$2:$N986=B69)*(ROW('Списки блоков'!$N$2:$N986)&lt;&gt;ROW('Списки блоков'!$N$3)),0),0)),"","Сценаристы,")
&amp;IF(ISERROR(MATCH(1,INDEX(('Списки блоков'!$O$2:$O986=B69)*(ROW('Списки блоков'!$O$2:$O986)&lt;&gt;ROW('Списки блоков'!$O$3)),0),0)),"","Техники,")
&amp;IF(ISERROR(MATCH(1,INDEX(('Списки блоков'!$P$2:$P986=B69)*(ROW('Списки блоков'!$P$2:$P986)&lt;&gt;ROW('Списки блоков'!$P$3)),0),0)),"","УРС,")
&amp;IF(ISERROR(MATCH(1,INDEX(('Списки блоков'!$Q$2:$Q986=B69)*(ROW('Списки блоков'!$Q$2:$Q986)&lt;&gt;ROW('Списки блоков'!$Q$3)),0),0)),"","Фото,")
&amp;IF(ISERROR(MATCH(1,INDEX((#REF!=B69)*(ROW(#REF!)&lt;&gt;ROW(#REF!)),0),0)),"","ЭкоБлок,")
&amp;IF(ISERROR(MATCH(1,INDEX(('Списки блоков'!$R$2:$R986=B69)*(ROW('Списки блоков'!$R$2:$R986)&lt;&gt;ROW('Списки блоков'!$R$3)),0),0)),"","HR,")
&amp;IF(ISERROR(MATCH(1,INDEX(('Списки блоков'!$S$2:$S986=B69)*(ROW('Списки блоков'!$S$2:$S986)&lt;&gt;ROW('Списки блоков'!$S$3)),0),0)),"","Instagram,")
&amp;IF(ISERROR(MATCH(1,INDEX(('Списки блоков'!$T$2:$T986=B69)*(ROW('Списки блоков'!$T$2:$T986)&lt;&gt;ROW('Списки блоков'!$T$3)),0),0)),"","Zachёt,")
&amp;IF(ISERROR(MATCH(1,INDEX(('Списки блоков'!$U$2:$U986=B69)*(ROW('Списки блоков'!$U$2:$U986)&lt;&gt;ROW('Списки блоков'!$U$3)),0),0)),"","IT,")
&amp;IF(ISERROR(MATCH(1,INDEX(('Списки блоков'!$V$2:$V986=B69)*(ROW('Списки блоков'!$V$2:$V986)&lt;&gt;ROW('Списки блоков'!$V$3)),0),0)),"","ДК,")
</f>
        <v>Видеолаба,КГ,Техники,</v>
      </c>
      <c r="F69" s="10" t="s">
        <v>343</v>
      </c>
      <c r="G69" s="12" t="s">
        <v>344</v>
      </c>
      <c r="H69" s="12" t="s">
        <v>345</v>
      </c>
      <c r="I69" s="10" t="s">
        <v>346</v>
      </c>
      <c r="J69" s="6" t="s">
        <v>22</v>
      </c>
    </row>
    <row r="70">
      <c r="A70" s="2" t="s">
        <v>347</v>
      </c>
      <c r="B70" s="2" t="str">
        <f t="shared" si="5"/>
        <v>Ларин Святослав</v>
      </c>
      <c r="C70" s="3">
        <v>217.0</v>
      </c>
      <c r="D70" s="2" t="s">
        <v>348</v>
      </c>
      <c r="E70" s="2" t="str">
        <f t="array" ref="E70">IF(ISERROR(MATCH(1,INDEX(('Списки блоков'!$B$2:$B986=B70)*(ROW('Списки блоков'!$B$2:$B986)&lt;&gt;ROW('Списки блоков'!$B$3)),0),0)),"","БДНС,")
&amp;IF(ISERROR(MATCH(1,INDEX(('Списки блоков'!$C$2:$C986=B70)*(ROW('Списки блоков'!$C$2:$C986)&lt;&gt;ROW('Списки блоков'!$C$3)),0),0)),"","Видеолаба,")
&amp;IF(ISERROR(MATCH(1,INDEX(('Списки блоков'!$D$2:$D986=B70)*(ROW('Списки блоков'!$D$2:$D986)&lt;&gt;ROW('Списки блоков'!$D$3)),0),0)),"","Декораторы,")
&amp;IF(ISERROR(MATCH(1,INDEX(('Списки блоков'!$E$2:$E986=B70)*(ROW('Списки блоков'!$E$2:$E986)&lt;&gt;ROW('Списки блоков'!$E$3)),0),0)),"","Дизайн,")
&amp;IF(ISERROR(MATCH(1,INDEX(('Списки блоков'!$F$2:$F986=B70)*(ROW('Списки блоков'!$F$2:$F986)&lt;&gt;ROW('Списки блоков'!$F$3)),0),0)),"","Досуг,")
&amp;IF(ISERROR(MATCH(1,INDEX(('Списки блоков'!$G$2:$G986=B70)*(ROW('Списки блоков'!$G$2:$G986)&lt;&gt;ROW('Списки блоков'!$G$3)),0),0)),"","Закупки,")
&amp;IF(ISERROR(MATCH(1,INDEX(('Списки блоков'!$H$2:$H986=B70)*(ROW('Списки блоков'!$H$2:$H986)&lt;&gt;ROW('Списки блоков'!$H$3)),0),0)),"","ИнфоБлок,")
&amp;IF(ISERROR(MATCH(1,INDEX(('Списки блоков'!$I$2:$I986=B70)*(ROW('Списки блоков'!$I$2:$I986)&lt;&gt;ROW('Списки блоков'!$I$3)),0),0)),"","КГ,")
&amp;IF(ISERROR(MATCH(1,INDEX(('Списки блоков'!$J$2:$J986=B70)*(ROW('Списки блоков'!$J$2:$J986)&lt;&gt;ROW('Списки блоков'!$J$3)),0),0)),"","МП,")
&amp;IF(ISERROR(MATCH(1,INDEX(('Списки блоков'!$K$2:$K986=B70)*(ROW('Списки блоков'!$K$2:$K986)&lt;&gt;ROW('Списки блоков'!$K$3)),0),0)),"","Профорги,")
&amp;IF(ISERROR(MATCH(1,INDEX(('Списки блоков'!$L$2:$L986=B70)*(ROW('Списки блоков'!$L$2:$L986)&lt;&gt;ROW('Списки блоков'!$L$3)),0),0)),"","Спонсоры,")
&amp;IF(ISERROR(MATCH(1,INDEX(('Списки блоков'!$M$2:$M986=B70)*(ROW('Списки блоков'!$M$2:$M986)&lt;&gt;ROW('Списки блоков'!$M$3)),0),0)),"","Склад,")
&amp;IF(ISERROR(MATCH(1,INDEX(('Списки блоков'!$N$2:$N986=B70)*(ROW('Списки блоков'!$N$2:$N986)&lt;&gt;ROW('Списки блоков'!$N$3)),0),0)),"","Сценаристы,")
&amp;IF(ISERROR(MATCH(1,INDEX(('Списки блоков'!$O$2:$O986=B70)*(ROW('Списки блоков'!$O$2:$O986)&lt;&gt;ROW('Списки блоков'!$O$3)),0),0)),"","Техники,")
&amp;IF(ISERROR(MATCH(1,INDEX(('Списки блоков'!$P$2:$P986=B70)*(ROW('Списки блоков'!$P$2:$P986)&lt;&gt;ROW('Списки блоков'!$P$3)),0),0)),"","УРС,")
&amp;IF(ISERROR(MATCH(1,INDEX(('Списки блоков'!$Q$2:$Q986=B70)*(ROW('Списки блоков'!$Q$2:$Q986)&lt;&gt;ROW('Списки блоков'!$Q$3)),0),0)),"","Фото,")
&amp;IF(ISERROR(MATCH(1,INDEX((#REF!=B70)*(ROW(#REF!)&lt;&gt;ROW(#REF!)),0),0)),"","ЭкоБлок,")
&amp;IF(ISERROR(MATCH(1,INDEX(('Списки блоков'!$R$2:$R986=B70)*(ROW('Списки блоков'!$R$2:$R986)&lt;&gt;ROW('Списки блоков'!$R$3)),0),0)),"","HR,")
&amp;IF(ISERROR(MATCH(1,INDEX(('Списки блоков'!$S$2:$S986=B70)*(ROW('Списки блоков'!$S$2:$S986)&lt;&gt;ROW('Списки блоков'!$S$3)),0),0)),"","Instagram,")
&amp;IF(ISERROR(MATCH(1,INDEX(('Списки блоков'!$T$2:$T986=B70)*(ROW('Списки блоков'!$T$2:$T986)&lt;&gt;ROW('Списки блоков'!$T$3)),0),0)),"","Zachёt,")
&amp;IF(ISERROR(MATCH(1,INDEX(('Списки блоков'!$U$2:$U986=B70)*(ROW('Списки блоков'!$U$2:$U986)&lt;&gt;ROW('Списки блоков'!$U$3)),0),0)),"","IT,")
&amp;IF(ISERROR(MATCH(1,INDEX(('Списки блоков'!$V$2:$V986=B70)*(ROW('Списки блоков'!$V$2:$V986)&lt;&gt;ROW('Списки блоков'!$V$3)),0),0)),"","ДК,")
</f>
        <v>КГ,</v>
      </c>
      <c r="F70" s="2" t="s">
        <v>349</v>
      </c>
      <c r="G70" s="5" t="s">
        <v>350</v>
      </c>
      <c r="H70" s="5" t="s">
        <v>351</v>
      </c>
      <c r="I70" s="2" t="s">
        <v>352</v>
      </c>
      <c r="J70" s="7" t="s">
        <v>22</v>
      </c>
    </row>
    <row r="71">
      <c r="A71" s="10" t="s">
        <v>353</v>
      </c>
      <c r="B71" s="2" t="str">
        <f t="shared" si="5"/>
        <v>Лебедев Иван</v>
      </c>
      <c r="C71" s="9">
        <v>113.0</v>
      </c>
      <c r="D71" s="10" t="s">
        <v>354</v>
      </c>
      <c r="E71" s="2" t="str">
        <f t="array" ref="E71">IF(ISERROR(MATCH(1,INDEX(('Списки блоков'!$B$2:$B986=B71)*(ROW('Списки блоков'!$B$2:$B986)&lt;&gt;ROW('Списки блоков'!$B$3)),0),0)),"","БДНС,")
&amp;IF(ISERROR(MATCH(1,INDEX(('Списки блоков'!$C$2:$C986=B71)*(ROW('Списки блоков'!$C$2:$C986)&lt;&gt;ROW('Списки блоков'!$C$3)),0),0)),"","Видеолаба,")
&amp;IF(ISERROR(MATCH(1,INDEX(('Списки блоков'!$D$2:$D986=B71)*(ROW('Списки блоков'!$D$2:$D986)&lt;&gt;ROW('Списки блоков'!$D$3)),0),0)),"","Декораторы,")
&amp;IF(ISERROR(MATCH(1,INDEX(('Списки блоков'!$E$2:$E986=B71)*(ROW('Списки блоков'!$E$2:$E986)&lt;&gt;ROW('Списки блоков'!$E$3)),0),0)),"","Дизайн,")
&amp;IF(ISERROR(MATCH(1,INDEX(('Списки блоков'!$F$2:$F986=B71)*(ROW('Списки блоков'!$F$2:$F986)&lt;&gt;ROW('Списки блоков'!$F$3)),0),0)),"","Досуг,")
&amp;IF(ISERROR(MATCH(1,INDEX(('Списки блоков'!$G$2:$G986=B71)*(ROW('Списки блоков'!$G$2:$G986)&lt;&gt;ROW('Списки блоков'!$G$3)),0),0)),"","Закупки,")
&amp;IF(ISERROR(MATCH(1,INDEX(('Списки блоков'!$H$2:$H986=B71)*(ROW('Списки блоков'!$H$2:$H986)&lt;&gt;ROW('Списки блоков'!$H$3)),0),0)),"","ИнфоБлок,")
&amp;IF(ISERROR(MATCH(1,INDEX(('Списки блоков'!$I$2:$I986=B71)*(ROW('Списки блоков'!$I$2:$I986)&lt;&gt;ROW('Списки блоков'!$I$3)),0),0)),"","КГ,")
&amp;IF(ISERROR(MATCH(1,INDEX(('Списки блоков'!$J$2:$J986=B71)*(ROW('Списки блоков'!$J$2:$J986)&lt;&gt;ROW('Списки блоков'!$J$3)),0),0)),"","МП,")
&amp;IF(ISERROR(MATCH(1,INDEX(('Списки блоков'!$K$2:$K986=B71)*(ROW('Списки блоков'!$K$2:$K986)&lt;&gt;ROW('Списки блоков'!$K$3)),0),0)),"","Профорги,")
&amp;IF(ISERROR(MATCH(1,INDEX(('Списки блоков'!$L$2:$L986=B71)*(ROW('Списки блоков'!$L$2:$L986)&lt;&gt;ROW('Списки блоков'!$L$3)),0),0)),"","Спонсоры,")
&amp;IF(ISERROR(MATCH(1,INDEX(('Списки блоков'!$M$2:$M986=B71)*(ROW('Списки блоков'!$M$2:$M986)&lt;&gt;ROW('Списки блоков'!$M$3)),0),0)),"","Склад,")
&amp;IF(ISERROR(MATCH(1,INDEX(('Списки блоков'!$N$2:$N986=B71)*(ROW('Списки блоков'!$N$2:$N986)&lt;&gt;ROW('Списки блоков'!$N$3)),0),0)),"","Сценаристы,")
&amp;IF(ISERROR(MATCH(1,INDEX(('Списки блоков'!$O$2:$O986=B71)*(ROW('Списки блоков'!$O$2:$O986)&lt;&gt;ROW('Списки блоков'!$O$3)),0),0)),"","Техники,")
&amp;IF(ISERROR(MATCH(1,INDEX(('Списки блоков'!$P$2:$P986=B71)*(ROW('Списки блоков'!$P$2:$P986)&lt;&gt;ROW('Списки блоков'!$P$3)),0),0)),"","УРС,")
&amp;IF(ISERROR(MATCH(1,INDEX(('Списки блоков'!$Q$2:$Q986=B71)*(ROW('Списки блоков'!$Q$2:$Q986)&lt;&gt;ROW('Списки блоков'!$Q$3)),0),0)),"","Фото,")
&amp;IF(ISERROR(MATCH(1,INDEX((#REF!=B71)*(ROW(#REF!)&lt;&gt;ROW(#REF!)),0),0)),"","ЭкоБлок,")
&amp;IF(ISERROR(MATCH(1,INDEX(('Списки блоков'!$R$2:$R986=B71)*(ROW('Списки блоков'!$R$2:$R986)&lt;&gt;ROW('Списки блоков'!$R$3)),0),0)),"","HR,")
&amp;IF(ISERROR(MATCH(1,INDEX(('Списки блоков'!$S$2:$S986=B71)*(ROW('Списки блоков'!$S$2:$S986)&lt;&gt;ROW('Списки блоков'!$S$3)),0),0)),"","Instagram,")
&amp;IF(ISERROR(MATCH(1,INDEX(('Списки блоков'!$T$2:$T986=B71)*(ROW('Списки блоков'!$T$2:$T986)&lt;&gt;ROW('Списки блоков'!$T$3)),0),0)),"","Zachёt,")
&amp;IF(ISERROR(MATCH(1,INDEX(('Списки блоков'!$U$2:$U986=B71)*(ROW('Списки блоков'!$U$2:$U986)&lt;&gt;ROW('Списки блоков'!$U$3)),0),0)),"","IT,")
&amp;IF(ISERROR(MATCH(1,INDEX(('Списки блоков'!$V$2:$V986=B71)*(ROW('Списки блоков'!$V$2:$V986)&lt;&gt;ROW('Списки блоков'!$V$3)),0),0)),"","ДК,")
</f>
        <v>Дизайн,МП,УРС,Фото,</v>
      </c>
      <c r="F71" s="11">
        <v>8.9264453636E10</v>
      </c>
      <c r="G71" s="12" t="s">
        <v>355</v>
      </c>
      <c r="H71" s="10" t="s">
        <v>356</v>
      </c>
      <c r="I71" s="10" t="s">
        <v>357</v>
      </c>
      <c r="J71" s="6" t="s">
        <v>22</v>
      </c>
    </row>
    <row r="72">
      <c r="A72" s="2" t="s">
        <v>358</v>
      </c>
      <c r="B72" s="2" t="str">
        <f t="shared" si="5"/>
        <v>Лепик Виктор</v>
      </c>
      <c r="C72" s="3">
        <v>209.0</v>
      </c>
      <c r="D72" s="2" t="s">
        <v>359</v>
      </c>
      <c r="E72" s="2" t="str">
        <f t="array" ref="E72">IF(ISERROR(MATCH(1,INDEX(('Списки блоков'!$B$2:$B986=B72)*(ROW('Списки блоков'!$B$2:$B986)&lt;&gt;ROW('Списки блоков'!$B$3)),0),0)),"","БДНС,")
&amp;IF(ISERROR(MATCH(1,INDEX(('Списки блоков'!$C$2:$C986=B72)*(ROW('Списки блоков'!$C$2:$C986)&lt;&gt;ROW('Списки блоков'!$C$3)),0),0)),"","Видеолаба,")
&amp;IF(ISERROR(MATCH(1,INDEX(('Списки блоков'!$D$2:$D986=B72)*(ROW('Списки блоков'!$D$2:$D986)&lt;&gt;ROW('Списки блоков'!$D$3)),0),0)),"","Декораторы,")
&amp;IF(ISERROR(MATCH(1,INDEX(('Списки блоков'!$E$2:$E986=B72)*(ROW('Списки блоков'!$E$2:$E986)&lt;&gt;ROW('Списки блоков'!$E$3)),0),0)),"","Дизайн,")
&amp;IF(ISERROR(MATCH(1,INDEX(('Списки блоков'!$F$2:$F986=B72)*(ROW('Списки блоков'!$F$2:$F986)&lt;&gt;ROW('Списки блоков'!$F$3)),0),0)),"","Досуг,")
&amp;IF(ISERROR(MATCH(1,INDEX(('Списки блоков'!$G$2:$G986=B72)*(ROW('Списки блоков'!$G$2:$G986)&lt;&gt;ROW('Списки блоков'!$G$3)),0),0)),"","Закупки,")
&amp;IF(ISERROR(MATCH(1,INDEX(('Списки блоков'!$H$2:$H986=B72)*(ROW('Списки блоков'!$H$2:$H986)&lt;&gt;ROW('Списки блоков'!$H$3)),0),0)),"","ИнфоБлок,")
&amp;IF(ISERROR(MATCH(1,INDEX(('Списки блоков'!$I$2:$I986=B72)*(ROW('Списки блоков'!$I$2:$I986)&lt;&gt;ROW('Списки блоков'!$I$3)),0),0)),"","КГ,")
&amp;IF(ISERROR(MATCH(1,INDEX(('Списки блоков'!$J$2:$J986=B72)*(ROW('Списки блоков'!$J$2:$J986)&lt;&gt;ROW('Списки блоков'!$J$3)),0),0)),"","МП,")
&amp;IF(ISERROR(MATCH(1,INDEX(('Списки блоков'!$K$2:$K986=B72)*(ROW('Списки блоков'!$K$2:$K986)&lt;&gt;ROW('Списки блоков'!$K$3)),0),0)),"","Профорги,")
&amp;IF(ISERROR(MATCH(1,INDEX(('Списки блоков'!$L$2:$L986=B72)*(ROW('Списки блоков'!$L$2:$L986)&lt;&gt;ROW('Списки блоков'!$L$3)),0),0)),"","Спонсоры,")
&amp;IF(ISERROR(MATCH(1,INDEX(('Списки блоков'!$M$2:$M986=B72)*(ROW('Списки блоков'!$M$2:$M986)&lt;&gt;ROW('Списки блоков'!$M$3)),0),0)),"","Склад,")
&amp;IF(ISERROR(MATCH(1,INDEX(('Списки блоков'!$N$2:$N986=B72)*(ROW('Списки блоков'!$N$2:$N986)&lt;&gt;ROW('Списки блоков'!$N$3)),0),0)),"","Сценаристы,")
&amp;IF(ISERROR(MATCH(1,INDEX(('Списки блоков'!$O$2:$O986=B72)*(ROW('Списки блоков'!$O$2:$O986)&lt;&gt;ROW('Списки блоков'!$O$3)),0),0)),"","Техники,")
&amp;IF(ISERROR(MATCH(1,INDEX(('Списки блоков'!$P$2:$P986=B72)*(ROW('Списки блоков'!$P$2:$P986)&lt;&gt;ROW('Списки блоков'!$P$3)),0),0)),"","УРС,")
&amp;IF(ISERROR(MATCH(1,INDEX(('Списки блоков'!$Q$2:$Q986=B72)*(ROW('Списки блоков'!$Q$2:$Q986)&lt;&gt;ROW('Списки блоков'!$Q$3)),0),0)),"","Фото,")
&amp;IF(ISERROR(MATCH(1,INDEX((#REF!=B72)*(ROW(#REF!)&lt;&gt;ROW(#REF!)),0),0)),"","ЭкоБлок,")
&amp;IF(ISERROR(MATCH(1,INDEX(('Списки блоков'!$R$2:$R986=B72)*(ROW('Списки блоков'!$R$2:$R986)&lt;&gt;ROW('Списки блоков'!$R$3)),0),0)),"","HR,")
&amp;IF(ISERROR(MATCH(1,INDEX(('Списки блоков'!$S$2:$S986=B72)*(ROW('Списки блоков'!$S$2:$S986)&lt;&gt;ROW('Списки блоков'!$S$3)),0),0)),"","Instagram,")
&amp;IF(ISERROR(MATCH(1,INDEX(('Списки блоков'!$T$2:$T986=B72)*(ROW('Списки блоков'!$T$2:$T986)&lt;&gt;ROW('Списки блоков'!$T$3)),0),0)),"","Zachёt,")
&amp;IF(ISERROR(MATCH(1,INDEX(('Списки блоков'!$U$2:$U986=B72)*(ROW('Списки блоков'!$U$2:$U986)&lt;&gt;ROW('Списки блоков'!$U$3)),0),0)),"","IT,")
&amp;IF(ISERROR(MATCH(1,INDEX(('Списки блоков'!$V$2:$V986=B72)*(ROW('Списки блоков'!$V$2:$V986)&lt;&gt;ROW('Списки блоков'!$V$3)),0),0)),"","ДК,")
</f>
        <v>Техники,УРС,</v>
      </c>
      <c r="F72" s="8">
        <v>8.916785032E10</v>
      </c>
      <c r="G72" s="2" t="s">
        <v>360</v>
      </c>
      <c r="H72" s="2" t="s">
        <v>361</v>
      </c>
      <c r="I72" s="2" t="s">
        <v>362</v>
      </c>
      <c r="J72" s="7" t="s">
        <v>22</v>
      </c>
    </row>
    <row r="73">
      <c r="A73" s="7" t="s">
        <v>363</v>
      </c>
      <c r="B73" s="2" t="str">
        <f t="shared" si="5"/>
        <v>Логвинова Мария</v>
      </c>
      <c r="C73" s="3">
        <v>316.0</v>
      </c>
      <c r="D73" s="2" t="s">
        <v>184</v>
      </c>
      <c r="E73" s="2" t="str">
        <f t="array" ref="E73">IF(ISERROR(MATCH(1,INDEX(('Списки блоков'!$B$2:$B986=B73)*(ROW('Списки блоков'!$B$2:$B986)&lt;&gt;ROW('Списки блоков'!$B$3)),0),0)),"","БДНС,")
&amp;IF(ISERROR(MATCH(1,INDEX(('Списки блоков'!$C$2:$C986=B73)*(ROW('Списки блоков'!$C$2:$C986)&lt;&gt;ROW('Списки блоков'!$C$3)),0),0)),"","Видеолаба,")
&amp;IF(ISERROR(MATCH(1,INDEX(('Списки блоков'!$D$2:$D986=B73)*(ROW('Списки блоков'!$D$2:$D986)&lt;&gt;ROW('Списки блоков'!$D$3)),0),0)),"","Декораторы,")
&amp;IF(ISERROR(MATCH(1,INDEX(('Списки блоков'!$E$2:$E986=B73)*(ROW('Списки блоков'!$E$2:$E986)&lt;&gt;ROW('Списки блоков'!$E$3)),0),0)),"","Дизайн,")
&amp;IF(ISERROR(MATCH(1,INDEX(('Списки блоков'!$F$2:$F986=B73)*(ROW('Списки блоков'!$F$2:$F986)&lt;&gt;ROW('Списки блоков'!$F$3)),0),0)),"","Досуг,")
&amp;IF(ISERROR(MATCH(1,INDEX(('Списки блоков'!$G$2:$G986=B73)*(ROW('Списки блоков'!$G$2:$G986)&lt;&gt;ROW('Списки блоков'!$G$3)),0),0)),"","Закупки,")
&amp;IF(ISERROR(MATCH(1,INDEX(('Списки блоков'!$H$2:$H986=B73)*(ROW('Списки блоков'!$H$2:$H986)&lt;&gt;ROW('Списки блоков'!$H$3)),0),0)),"","ИнфоБлок,")
&amp;IF(ISERROR(MATCH(1,INDEX(('Списки блоков'!$I$2:$I986=B73)*(ROW('Списки блоков'!$I$2:$I986)&lt;&gt;ROW('Списки блоков'!$I$3)),0),0)),"","КГ,")
&amp;IF(ISERROR(MATCH(1,INDEX(('Списки блоков'!$J$2:$J986=B73)*(ROW('Списки блоков'!$J$2:$J986)&lt;&gt;ROW('Списки блоков'!$J$3)),0),0)),"","МП,")
&amp;IF(ISERROR(MATCH(1,INDEX(('Списки блоков'!$K$2:$K986=B73)*(ROW('Списки блоков'!$K$2:$K986)&lt;&gt;ROW('Списки блоков'!$K$3)),0),0)),"","Профорги,")
&amp;IF(ISERROR(MATCH(1,INDEX(('Списки блоков'!$L$2:$L986=B73)*(ROW('Списки блоков'!$L$2:$L986)&lt;&gt;ROW('Списки блоков'!$L$3)),0),0)),"","Спонсоры,")
&amp;IF(ISERROR(MATCH(1,INDEX(('Списки блоков'!$M$2:$M986=B73)*(ROW('Списки блоков'!$M$2:$M986)&lt;&gt;ROW('Списки блоков'!$M$3)),0),0)),"","Склад,")
&amp;IF(ISERROR(MATCH(1,INDEX(('Списки блоков'!$N$2:$N986=B73)*(ROW('Списки блоков'!$N$2:$N986)&lt;&gt;ROW('Списки блоков'!$N$3)),0),0)),"","Сценаристы,")
&amp;IF(ISERROR(MATCH(1,INDEX(('Списки блоков'!$O$2:$O986=B73)*(ROW('Списки блоков'!$O$2:$O986)&lt;&gt;ROW('Списки блоков'!$O$3)),0),0)),"","Техники,")
&amp;IF(ISERROR(MATCH(1,INDEX(('Списки блоков'!$P$2:$P986=B73)*(ROW('Списки блоков'!$P$2:$P986)&lt;&gt;ROW('Списки блоков'!$P$3)),0),0)),"","УРС,")
&amp;IF(ISERROR(MATCH(1,INDEX(('Списки блоков'!$Q$2:$Q986=B73)*(ROW('Списки блоков'!$Q$2:$Q986)&lt;&gt;ROW('Списки блоков'!$Q$3)),0),0)),"","Фото,")
&amp;IF(ISERROR(MATCH(1,INDEX((#REF!=B73)*(ROW(#REF!)&lt;&gt;ROW(#REF!)),0),0)),"","ЭкоБлок,")
&amp;IF(ISERROR(MATCH(1,INDEX(('Списки блоков'!$R$2:$R986=B73)*(ROW('Списки блоков'!$R$2:$R986)&lt;&gt;ROW('Списки блоков'!$R$3)),0),0)),"","HR,")
&amp;IF(ISERROR(MATCH(1,INDEX(('Списки блоков'!$S$2:$S986=B73)*(ROW('Списки блоков'!$S$2:$S986)&lt;&gt;ROW('Списки блоков'!$S$3)),0),0)),"","Instagram,")
&amp;IF(ISERROR(MATCH(1,INDEX(('Списки блоков'!$T$2:$T986=B73)*(ROW('Списки блоков'!$T$2:$T986)&lt;&gt;ROW('Списки блоков'!$T$3)),0),0)),"","Zachёt,")
&amp;IF(ISERROR(MATCH(1,INDEX(('Списки блоков'!$U$2:$U986=B73)*(ROW('Списки блоков'!$U$2:$U986)&lt;&gt;ROW('Списки блоков'!$U$3)),0),0)),"","IT,")
&amp;IF(ISERROR(MATCH(1,INDEX(('Списки блоков'!$V$2:$V986=B73)*(ROW('Списки блоков'!$V$2:$V986)&lt;&gt;ROW('Списки блоков'!$V$3)),0),0)),"","ДК,")
</f>
        <v>Декораторы,ИнфоБлок,МП,Профорги,</v>
      </c>
      <c r="F73" s="8">
        <v>8.9163818756E10</v>
      </c>
      <c r="G73" s="5" t="s">
        <v>364</v>
      </c>
      <c r="H73" s="2" t="s">
        <v>365</v>
      </c>
      <c r="I73" s="2" t="s">
        <v>366</v>
      </c>
      <c r="J73" s="7" t="s">
        <v>22</v>
      </c>
    </row>
    <row r="74">
      <c r="A74" s="2" t="s">
        <v>367</v>
      </c>
      <c r="B74" s="2" t="str">
        <f t="shared" si="5"/>
        <v>Лукинова Мария</v>
      </c>
      <c r="C74" s="3">
        <v>108.0</v>
      </c>
      <c r="D74" s="2" t="s">
        <v>368</v>
      </c>
      <c r="E74" s="2" t="str">
        <f t="array" ref="E74">IF(ISERROR(MATCH(1,INDEX(('Списки блоков'!$B$2:$B986=B74)*(ROW('Списки блоков'!$B$2:$B986)&lt;&gt;ROW('Списки блоков'!$B$3)),0),0)),"","БДНС,")
&amp;IF(ISERROR(MATCH(1,INDEX(('Списки блоков'!$C$2:$C986=B74)*(ROW('Списки блоков'!$C$2:$C986)&lt;&gt;ROW('Списки блоков'!$C$3)),0),0)),"","Видеолаба,")
&amp;IF(ISERROR(MATCH(1,INDEX(('Списки блоков'!$D$2:$D986=B74)*(ROW('Списки блоков'!$D$2:$D986)&lt;&gt;ROW('Списки блоков'!$D$3)),0),0)),"","Декораторы,")
&amp;IF(ISERROR(MATCH(1,INDEX(('Списки блоков'!$E$2:$E986=B74)*(ROW('Списки блоков'!$E$2:$E986)&lt;&gt;ROW('Списки блоков'!$E$3)),0),0)),"","Дизайн,")
&amp;IF(ISERROR(MATCH(1,INDEX(('Списки блоков'!$F$2:$F986=B74)*(ROW('Списки блоков'!$F$2:$F986)&lt;&gt;ROW('Списки блоков'!$F$3)),0),0)),"","Досуг,")
&amp;IF(ISERROR(MATCH(1,INDEX(('Списки блоков'!$G$2:$G986=B74)*(ROW('Списки блоков'!$G$2:$G986)&lt;&gt;ROW('Списки блоков'!$G$3)),0),0)),"","Закупки,")
&amp;IF(ISERROR(MATCH(1,INDEX(('Списки блоков'!$H$2:$H986=B74)*(ROW('Списки блоков'!$H$2:$H986)&lt;&gt;ROW('Списки блоков'!$H$3)),0),0)),"","ИнфоБлок,")
&amp;IF(ISERROR(MATCH(1,INDEX(('Списки блоков'!$I$2:$I986=B74)*(ROW('Списки блоков'!$I$2:$I986)&lt;&gt;ROW('Списки блоков'!$I$3)),0),0)),"","КГ,")
&amp;IF(ISERROR(MATCH(1,INDEX(('Списки блоков'!$J$2:$J986=B74)*(ROW('Списки блоков'!$J$2:$J986)&lt;&gt;ROW('Списки блоков'!$J$3)),0),0)),"","МП,")
&amp;IF(ISERROR(MATCH(1,INDEX(('Списки блоков'!$K$2:$K986=B74)*(ROW('Списки блоков'!$K$2:$K986)&lt;&gt;ROW('Списки блоков'!$K$3)),0),0)),"","Профорги,")
&amp;IF(ISERROR(MATCH(1,INDEX(('Списки блоков'!$L$2:$L986=B74)*(ROW('Списки блоков'!$L$2:$L986)&lt;&gt;ROW('Списки блоков'!$L$3)),0),0)),"","Спонсоры,")
&amp;IF(ISERROR(MATCH(1,INDEX(('Списки блоков'!$M$2:$M986=B74)*(ROW('Списки блоков'!$M$2:$M986)&lt;&gt;ROW('Списки блоков'!$M$3)),0),0)),"","Склад,")
&amp;IF(ISERROR(MATCH(1,INDEX(('Списки блоков'!$N$2:$N986=B74)*(ROW('Списки блоков'!$N$2:$N986)&lt;&gt;ROW('Списки блоков'!$N$3)),0),0)),"","Сценаристы,")
&amp;IF(ISERROR(MATCH(1,INDEX(('Списки блоков'!$O$2:$O986=B74)*(ROW('Списки блоков'!$O$2:$O986)&lt;&gt;ROW('Списки блоков'!$O$3)),0),0)),"","Техники,")
&amp;IF(ISERROR(MATCH(1,INDEX(('Списки блоков'!$P$2:$P986=B74)*(ROW('Списки блоков'!$P$2:$P986)&lt;&gt;ROW('Списки блоков'!$P$3)),0),0)),"","УРС,")
&amp;IF(ISERROR(MATCH(1,INDEX(('Списки блоков'!$Q$2:$Q986=B74)*(ROW('Списки блоков'!$Q$2:$Q986)&lt;&gt;ROW('Списки блоков'!$Q$3)),0),0)),"","Фото,")
&amp;IF(ISERROR(MATCH(1,INDEX((#REF!=B74)*(ROW(#REF!)&lt;&gt;ROW(#REF!)),0),0)),"","ЭкоБлок,")
&amp;IF(ISERROR(MATCH(1,INDEX(('Списки блоков'!$R$2:$R986=B74)*(ROW('Списки блоков'!$R$2:$R986)&lt;&gt;ROW('Списки блоков'!$R$3)),0),0)),"","HR,")
&amp;IF(ISERROR(MATCH(1,INDEX(('Списки блоков'!$S$2:$S986=B74)*(ROW('Списки блоков'!$S$2:$S986)&lt;&gt;ROW('Списки блоков'!$S$3)),0),0)),"","Instagram,")
&amp;IF(ISERROR(MATCH(1,INDEX(('Списки блоков'!$T$2:$T986=B74)*(ROW('Списки блоков'!$T$2:$T986)&lt;&gt;ROW('Списки блоков'!$T$3)),0),0)),"","Zachёt,")
&amp;IF(ISERROR(MATCH(1,INDEX(('Списки блоков'!$U$2:$U986=B74)*(ROW('Списки блоков'!$U$2:$U986)&lt;&gt;ROW('Списки блоков'!$U$3)),0),0)),"","IT,")
&amp;IF(ISERROR(MATCH(1,INDEX(('Списки блоков'!$V$2:$V986=B74)*(ROW('Списки блоков'!$V$2:$V986)&lt;&gt;ROW('Списки блоков'!$V$3)),0),0)),"","ДК,")
</f>
        <v>ИнфоБлок,МП,Спонсоры,</v>
      </c>
      <c r="F74" s="4">
        <v>8.925237233E10</v>
      </c>
      <c r="G74" s="5" t="s">
        <v>369</v>
      </c>
      <c r="H74" s="5" t="s">
        <v>370</v>
      </c>
      <c r="I74" s="2" t="s">
        <v>371</v>
      </c>
      <c r="J74" s="7" t="s">
        <v>22</v>
      </c>
    </row>
    <row r="75">
      <c r="A75" s="7" t="s">
        <v>372</v>
      </c>
      <c r="B75" s="2" t="str">
        <f t="shared" si="5"/>
        <v>Лякина Юлия</v>
      </c>
      <c r="C75" s="3">
        <v>316.0</v>
      </c>
      <c r="D75" s="2" t="s">
        <v>373</v>
      </c>
      <c r="E75" s="2" t="str">
        <f t="array" ref="E75">IF(ISERROR(MATCH(1,INDEX(('Списки блоков'!$B$2:$B986=B75)*(ROW('Списки блоков'!$B$2:$B986)&lt;&gt;ROW('Списки блоков'!$B$3)),0),0)),"","БДНС,")
&amp;IF(ISERROR(MATCH(1,INDEX(('Списки блоков'!$C$2:$C986=B75)*(ROW('Списки блоков'!$C$2:$C986)&lt;&gt;ROW('Списки блоков'!$C$3)),0),0)),"","Видеолаба,")
&amp;IF(ISERROR(MATCH(1,INDEX(('Списки блоков'!$D$2:$D986=B75)*(ROW('Списки блоков'!$D$2:$D986)&lt;&gt;ROW('Списки блоков'!$D$3)),0),0)),"","Декораторы,")
&amp;IF(ISERROR(MATCH(1,INDEX(('Списки блоков'!$E$2:$E986=B75)*(ROW('Списки блоков'!$E$2:$E986)&lt;&gt;ROW('Списки блоков'!$E$3)),0),0)),"","Дизайн,")
&amp;IF(ISERROR(MATCH(1,INDEX(('Списки блоков'!$F$2:$F986=B75)*(ROW('Списки блоков'!$F$2:$F986)&lt;&gt;ROW('Списки блоков'!$F$3)),0),0)),"","Досуг,")
&amp;IF(ISERROR(MATCH(1,INDEX(('Списки блоков'!$G$2:$G986=B75)*(ROW('Списки блоков'!$G$2:$G986)&lt;&gt;ROW('Списки блоков'!$G$3)),0),0)),"","Закупки,")
&amp;IF(ISERROR(MATCH(1,INDEX(('Списки блоков'!$H$2:$H986=B75)*(ROW('Списки блоков'!$H$2:$H986)&lt;&gt;ROW('Списки блоков'!$H$3)),0),0)),"","ИнфоБлок,")
&amp;IF(ISERROR(MATCH(1,INDEX(('Списки блоков'!$I$2:$I986=B75)*(ROW('Списки блоков'!$I$2:$I986)&lt;&gt;ROW('Списки блоков'!$I$3)),0),0)),"","КГ,")
&amp;IF(ISERROR(MATCH(1,INDEX(('Списки блоков'!$J$2:$J986=B75)*(ROW('Списки блоков'!$J$2:$J986)&lt;&gt;ROW('Списки блоков'!$J$3)),0),0)),"","МП,")
&amp;IF(ISERROR(MATCH(1,INDEX(('Списки блоков'!$K$2:$K986=B75)*(ROW('Списки блоков'!$K$2:$K986)&lt;&gt;ROW('Списки блоков'!$K$3)),0),0)),"","Профорги,")
&amp;IF(ISERROR(MATCH(1,INDEX(('Списки блоков'!$L$2:$L986=B75)*(ROW('Списки блоков'!$L$2:$L986)&lt;&gt;ROW('Списки блоков'!$L$3)),0),0)),"","Спонсоры,")
&amp;IF(ISERROR(MATCH(1,INDEX(('Списки блоков'!$M$2:$M986=B75)*(ROW('Списки блоков'!$M$2:$M986)&lt;&gt;ROW('Списки блоков'!$M$3)),0),0)),"","Склад,")
&amp;IF(ISERROR(MATCH(1,INDEX(('Списки блоков'!$N$2:$N986=B75)*(ROW('Списки блоков'!$N$2:$N986)&lt;&gt;ROW('Списки блоков'!$N$3)),0),0)),"","Сценаристы,")
&amp;IF(ISERROR(MATCH(1,INDEX(('Списки блоков'!$O$2:$O986=B75)*(ROW('Списки блоков'!$O$2:$O986)&lt;&gt;ROW('Списки блоков'!$O$3)),0),0)),"","Техники,")
&amp;IF(ISERROR(MATCH(1,INDEX(('Списки блоков'!$P$2:$P986=B75)*(ROW('Списки блоков'!$P$2:$P986)&lt;&gt;ROW('Списки блоков'!$P$3)),0),0)),"","УРС,")
&amp;IF(ISERROR(MATCH(1,INDEX(('Списки блоков'!$Q$2:$Q986=B75)*(ROW('Списки блоков'!$Q$2:$Q986)&lt;&gt;ROW('Списки блоков'!$Q$3)),0),0)),"","Фото,")
&amp;IF(ISERROR(MATCH(1,INDEX((#REF!=B75)*(ROW(#REF!)&lt;&gt;ROW(#REF!)),0),0)),"","ЭкоБлок,")
&amp;IF(ISERROR(MATCH(1,INDEX(('Списки блоков'!$R$2:$R986=B75)*(ROW('Списки блоков'!$R$2:$R986)&lt;&gt;ROW('Списки блоков'!$R$3)),0),0)),"","HR,")
&amp;IF(ISERROR(MATCH(1,INDEX(('Списки блоков'!$S$2:$S986=B75)*(ROW('Списки блоков'!$S$2:$S986)&lt;&gt;ROW('Списки блоков'!$S$3)),0),0)),"","Instagram,")
&amp;IF(ISERROR(MATCH(1,INDEX(('Списки блоков'!$T$2:$T986=B75)*(ROW('Списки блоков'!$T$2:$T986)&lt;&gt;ROW('Списки блоков'!$T$3)),0),0)),"","Zachёt,")
&amp;IF(ISERROR(MATCH(1,INDEX(('Списки блоков'!$U$2:$U986=B75)*(ROW('Списки блоков'!$U$2:$U986)&lt;&gt;ROW('Списки блоков'!$U$3)),0),0)),"","IT,")
&amp;IF(ISERROR(MATCH(1,INDEX(('Списки блоков'!$V$2:$V986=B75)*(ROW('Списки блоков'!$V$2:$V986)&lt;&gt;ROW('Списки блоков'!$V$3)),0),0)),"","ДК,")
</f>
        <v>Декораторы,Дизайн,Спонсоры,Instagram,</v>
      </c>
      <c r="F75" s="8">
        <v>8.9605389951E10</v>
      </c>
      <c r="G75" s="5" t="s">
        <v>374</v>
      </c>
      <c r="H75" s="2" t="s">
        <v>375</v>
      </c>
      <c r="I75" s="2" t="s">
        <v>376</v>
      </c>
      <c r="J75" s="7" t="s">
        <v>22</v>
      </c>
    </row>
    <row r="76">
      <c r="A76" s="6" t="s">
        <v>377</v>
      </c>
      <c r="B76" s="2" t="str">
        <f t="shared" si="5"/>
        <v>Малахов Александр</v>
      </c>
      <c r="C76" s="9">
        <v>516.0</v>
      </c>
      <c r="D76" s="10" t="s">
        <v>378</v>
      </c>
      <c r="E76" s="2" t="str">
        <f t="array" ref="E76">IF(ISERROR(MATCH(1,INDEX(('Списки блоков'!$B$2:$B986=B76)*(ROW('Списки блоков'!$B$2:$B986)&lt;&gt;ROW('Списки блоков'!$B$3)),0),0)),"","БДНС,")
&amp;IF(ISERROR(MATCH(1,INDEX(('Списки блоков'!$C$2:$C986=B76)*(ROW('Списки блоков'!$C$2:$C986)&lt;&gt;ROW('Списки блоков'!$C$3)),0),0)),"","Видеолаба,")
&amp;IF(ISERROR(MATCH(1,INDEX(('Списки блоков'!$D$2:$D986=B76)*(ROW('Списки блоков'!$D$2:$D986)&lt;&gt;ROW('Списки блоков'!$D$3)),0),0)),"","Декораторы,")
&amp;IF(ISERROR(MATCH(1,INDEX(('Списки блоков'!$E$2:$E986=B76)*(ROW('Списки блоков'!$E$2:$E986)&lt;&gt;ROW('Списки блоков'!$E$3)),0),0)),"","Дизайн,")
&amp;IF(ISERROR(MATCH(1,INDEX(('Списки блоков'!$F$2:$F986=B76)*(ROW('Списки блоков'!$F$2:$F986)&lt;&gt;ROW('Списки блоков'!$F$3)),0),0)),"","Досуг,")
&amp;IF(ISERROR(MATCH(1,INDEX(('Списки блоков'!$G$2:$G986=B76)*(ROW('Списки блоков'!$G$2:$G986)&lt;&gt;ROW('Списки блоков'!$G$3)),0),0)),"","Закупки,")
&amp;IF(ISERROR(MATCH(1,INDEX(('Списки блоков'!$H$2:$H986=B76)*(ROW('Списки блоков'!$H$2:$H986)&lt;&gt;ROW('Списки блоков'!$H$3)),0),0)),"","ИнфоБлок,")
&amp;IF(ISERROR(MATCH(1,INDEX(('Списки блоков'!$I$2:$I986=B76)*(ROW('Списки блоков'!$I$2:$I986)&lt;&gt;ROW('Списки блоков'!$I$3)),0),0)),"","КГ,")
&amp;IF(ISERROR(MATCH(1,INDEX(('Списки блоков'!$J$2:$J986=B76)*(ROW('Списки блоков'!$J$2:$J986)&lt;&gt;ROW('Списки блоков'!$J$3)),0),0)),"","МП,")
&amp;IF(ISERROR(MATCH(1,INDEX(('Списки блоков'!$K$2:$K986=B76)*(ROW('Списки блоков'!$K$2:$K986)&lt;&gt;ROW('Списки блоков'!$K$3)),0),0)),"","Профорги,")
&amp;IF(ISERROR(MATCH(1,INDEX(('Списки блоков'!$L$2:$L986=B76)*(ROW('Списки блоков'!$L$2:$L986)&lt;&gt;ROW('Списки блоков'!$L$3)),0),0)),"","Спонсоры,")
&amp;IF(ISERROR(MATCH(1,INDEX(('Списки блоков'!$M$2:$M986=B76)*(ROW('Списки блоков'!$M$2:$M986)&lt;&gt;ROW('Списки блоков'!$M$3)),0),0)),"","Склад,")
&amp;IF(ISERROR(MATCH(1,INDEX(('Списки блоков'!$N$2:$N986=B76)*(ROW('Списки блоков'!$N$2:$N986)&lt;&gt;ROW('Списки блоков'!$N$3)),0),0)),"","Сценаристы,")
&amp;IF(ISERROR(MATCH(1,INDEX(('Списки блоков'!$O$2:$O986=B76)*(ROW('Списки блоков'!$O$2:$O986)&lt;&gt;ROW('Списки блоков'!$O$3)),0),0)),"","Техники,")
&amp;IF(ISERROR(MATCH(1,INDEX(('Списки блоков'!$P$2:$P986=B76)*(ROW('Списки блоков'!$P$2:$P986)&lt;&gt;ROW('Списки блоков'!$P$3)),0),0)),"","УРС,")
&amp;IF(ISERROR(MATCH(1,INDEX(('Списки блоков'!$Q$2:$Q986=B76)*(ROW('Списки блоков'!$Q$2:$Q986)&lt;&gt;ROW('Списки блоков'!$Q$3)),0),0)),"","Фото,")
&amp;IF(ISERROR(MATCH(1,INDEX((#REF!=B76)*(ROW(#REF!)&lt;&gt;ROW(#REF!)),0),0)),"","ЭкоБлок,")
&amp;IF(ISERROR(MATCH(1,INDEX(('Списки блоков'!$R$2:$R986=B76)*(ROW('Списки блоков'!$R$2:$R986)&lt;&gt;ROW('Списки блоков'!$R$3)),0),0)),"","HR,")
&amp;IF(ISERROR(MATCH(1,INDEX(('Списки блоков'!$S$2:$S986=B76)*(ROW('Списки блоков'!$S$2:$S986)&lt;&gt;ROW('Списки блоков'!$S$3)),0),0)),"","Instagram,")
&amp;IF(ISERROR(MATCH(1,INDEX(('Списки блоков'!$T$2:$T986=B76)*(ROW('Списки блоков'!$T$2:$T986)&lt;&gt;ROW('Списки блоков'!$T$3)),0),0)),"","Zachёt,")
&amp;IF(ISERROR(MATCH(1,INDEX(('Списки блоков'!$U$2:$U986=B76)*(ROW('Списки блоков'!$U$2:$U986)&lt;&gt;ROW('Списки блоков'!$U$3)),0),0)),"","IT,")
&amp;IF(ISERROR(MATCH(1,INDEX(('Списки блоков'!$V$2:$V986=B76)*(ROW('Списки блоков'!$V$2:$V986)&lt;&gt;ROW('Списки блоков'!$V$3)),0),0)),"","ДК,")
</f>
        <v>Декораторы,Склад,УРС,</v>
      </c>
      <c r="F76" s="11">
        <v>8.9534367505E10</v>
      </c>
      <c r="G76" s="12" t="s">
        <v>379</v>
      </c>
      <c r="H76" s="10" t="s">
        <v>380</v>
      </c>
      <c r="I76" s="10" t="s">
        <v>381</v>
      </c>
      <c r="J76" s="6" t="s">
        <v>22</v>
      </c>
    </row>
    <row r="77">
      <c r="A77" s="10" t="s">
        <v>382</v>
      </c>
      <c r="B77" s="2" t="str">
        <f t="shared" si="5"/>
        <v>Мальчевский Степан</v>
      </c>
      <c r="C77" s="9">
        <v>521.0</v>
      </c>
      <c r="D77" s="10" t="s">
        <v>383</v>
      </c>
      <c r="E77" s="2" t="str">
        <f t="array" ref="E77">IF(ISERROR(MATCH(1,INDEX(('Списки блоков'!$B$2:$B986=B77)*(ROW('Списки блоков'!$B$2:$B986)&lt;&gt;ROW('Списки блоков'!$B$3)),0),0)),"","БДНС,")
&amp;IF(ISERROR(MATCH(1,INDEX(('Списки блоков'!$C$2:$C986=B77)*(ROW('Списки блоков'!$C$2:$C986)&lt;&gt;ROW('Списки блоков'!$C$3)),0),0)),"","Видеолаба,")
&amp;IF(ISERROR(MATCH(1,INDEX(('Списки блоков'!$D$2:$D986=B77)*(ROW('Списки блоков'!$D$2:$D986)&lt;&gt;ROW('Списки блоков'!$D$3)),0),0)),"","Декораторы,")
&amp;IF(ISERROR(MATCH(1,INDEX(('Списки блоков'!$E$2:$E986=B77)*(ROW('Списки блоков'!$E$2:$E986)&lt;&gt;ROW('Списки блоков'!$E$3)),0),0)),"","Дизайн,")
&amp;IF(ISERROR(MATCH(1,INDEX(('Списки блоков'!$F$2:$F986=B77)*(ROW('Списки блоков'!$F$2:$F986)&lt;&gt;ROW('Списки блоков'!$F$3)),0),0)),"","Досуг,")
&amp;IF(ISERROR(MATCH(1,INDEX(('Списки блоков'!$G$2:$G986=B77)*(ROW('Списки блоков'!$G$2:$G986)&lt;&gt;ROW('Списки блоков'!$G$3)),0),0)),"","Закупки,")
&amp;IF(ISERROR(MATCH(1,INDEX(('Списки блоков'!$H$2:$H986=B77)*(ROW('Списки блоков'!$H$2:$H986)&lt;&gt;ROW('Списки блоков'!$H$3)),0),0)),"","ИнфоБлок,")
&amp;IF(ISERROR(MATCH(1,INDEX(('Списки блоков'!$I$2:$I986=B77)*(ROW('Списки блоков'!$I$2:$I986)&lt;&gt;ROW('Списки блоков'!$I$3)),0),0)),"","КГ,")
&amp;IF(ISERROR(MATCH(1,INDEX(('Списки блоков'!$J$2:$J986=B77)*(ROW('Списки блоков'!$J$2:$J986)&lt;&gt;ROW('Списки блоков'!$J$3)),0),0)),"","МП,")
&amp;IF(ISERROR(MATCH(1,INDEX(('Списки блоков'!$K$2:$K986=B77)*(ROW('Списки блоков'!$K$2:$K986)&lt;&gt;ROW('Списки блоков'!$K$3)),0),0)),"","Профорги,")
&amp;IF(ISERROR(MATCH(1,INDEX(('Списки блоков'!$L$2:$L986=B77)*(ROW('Списки блоков'!$L$2:$L986)&lt;&gt;ROW('Списки блоков'!$L$3)),0),0)),"","Спонсоры,")
&amp;IF(ISERROR(MATCH(1,INDEX(('Списки блоков'!$M$2:$M986=B77)*(ROW('Списки блоков'!$M$2:$M986)&lt;&gt;ROW('Списки блоков'!$M$3)),0),0)),"","Склад,")
&amp;IF(ISERROR(MATCH(1,INDEX(('Списки блоков'!$N$2:$N986=B77)*(ROW('Списки блоков'!$N$2:$N986)&lt;&gt;ROW('Списки блоков'!$N$3)),0),0)),"","Сценаристы,")
&amp;IF(ISERROR(MATCH(1,INDEX(('Списки блоков'!$O$2:$O986=B77)*(ROW('Списки блоков'!$O$2:$O986)&lt;&gt;ROW('Списки блоков'!$O$3)),0),0)),"","Техники,")
&amp;IF(ISERROR(MATCH(1,INDEX(('Списки блоков'!$P$2:$P986=B77)*(ROW('Списки блоков'!$P$2:$P986)&lt;&gt;ROW('Списки блоков'!$P$3)),0),0)),"","УРС,")
&amp;IF(ISERROR(MATCH(1,INDEX(('Списки блоков'!$Q$2:$Q986=B77)*(ROW('Списки блоков'!$Q$2:$Q986)&lt;&gt;ROW('Списки блоков'!$Q$3)),0),0)),"","Фото,")
&amp;IF(ISERROR(MATCH(1,INDEX((#REF!=B77)*(ROW(#REF!)&lt;&gt;ROW(#REF!)),0),0)),"","ЭкоБлок,")
&amp;IF(ISERROR(MATCH(1,INDEX(('Списки блоков'!$R$2:$R986=B77)*(ROW('Списки блоков'!$R$2:$R986)&lt;&gt;ROW('Списки блоков'!$R$3)),0),0)),"","HR,")
&amp;IF(ISERROR(MATCH(1,INDEX(('Списки блоков'!$S$2:$S986=B77)*(ROW('Списки блоков'!$S$2:$S986)&lt;&gt;ROW('Списки блоков'!$S$3)),0),0)),"","Instagram,")
&amp;IF(ISERROR(MATCH(1,INDEX(('Списки блоков'!$T$2:$T986=B77)*(ROW('Списки блоков'!$T$2:$T986)&lt;&gt;ROW('Списки блоков'!$T$3)),0),0)),"","Zachёt,")
&amp;IF(ISERROR(MATCH(1,INDEX(('Списки блоков'!$U$2:$U986=B77)*(ROW('Списки блоков'!$U$2:$U986)&lt;&gt;ROW('Списки блоков'!$U$3)),0),0)),"","IT,")
&amp;IF(ISERROR(MATCH(1,INDEX(('Списки блоков'!$V$2:$V986=B77)*(ROW('Списки блоков'!$V$2:$V986)&lt;&gt;ROW('Списки блоков'!$V$3)),0),0)),"","ДК,")
</f>
        <v>Видеолаба,Декораторы,HR,</v>
      </c>
      <c r="F77" s="14">
        <v>8.9168471442E10</v>
      </c>
      <c r="G77" s="12" t="s">
        <v>384</v>
      </c>
      <c r="H77" s="12" t="s">
        <v>385</v>
      </c>
      <c r="I77" s="10" t="s">
        <v>386</v>
      </c>
      <c r="J77" s="6" t="s">
        <v>22</v>
      </c>
    </row>
    <row r="78">
      <c r="A78" s="10" t="s">
        <v>387</v>
      </c>
      <c r="B78" s="2" t="str">
        <f t="shared" si="5"/>
        <v>Матвиенко Варвара</v>
      </c>
      <c r="C78" s="9">
        <v>241.0</v>
      </c>
      <c r="D78" s="10" t="s">
        <v>50</v>
      </c>
      <c r="E78" s="2" t="str">
        <f t="array" ref="E78">IF(ISERROR(MATCH(1,INDEX(('Списки блоков'!$B$2:$B986=B78)*(ROW('Списки блоков'!$B$2:$B986)&lt;&gt;ROW('Списки блоков'!$B$3)),0),0)),"","БДНС,")
&amp;IF(ISERROR(MATCH(1,INDEX(('Списки блоков'!$C$2:$C986=B78)*(ROW('Списки блоков'!$C$2:$C986)&lt;&gt;ROW('Списки блоков'!$C$3)),0),0)),"","Видеолаба,")
&amp;IF(ISERROR(MATCH(1,INDEX(('Списки блоков'!$D$2:$D986=B78)*(ROW('Списки блоков'!$D$2:$D986)&lt;&gt;ROW('Списки блоков'!$D$3)),0),0)),"","Декораторы,")
&amp;IF(ISERROR(MATCH(1,INDEX(('Списки блоков'!$E$2:$E986=B78)*(ROW('Списки блоков'!$E$2:$E986)&lt;&gt;ROW('Списки блоков'!$E$3)),0),0)),"","Дизайн,")
&amp;IF(ISERROR(MATCH(1,INDEX(('Списки блоков'!$F$2:$F986=B78)*(ROW('Списки блоков'!$F$2:$F986)&lt;&gt;ROW('Списки блоков'!$F$3)),0),0)),"","Досуг,")
&amp;IF(ISERROR(MATCH(1,INDEX(('Списки блоков'!$G$2:$G986=B78)*(ROW('Списки блоков'!$G$2:$G986)&lt;&gt;ROW('Списки блоков'!$G$3)),0),0)),"","Закупки,")
&amp;IF(ISERROR(MATCH(1,INDEX(('Списки блоков'!$H$2:$H986=B78)*(ROW('Списки блоков'!$H$2:$H986)&lt;&gt;ROW('Списки блоков'!$H$3)),0),0)),"","ИнфоБлок,")
&amp;IF(ISERROR(MATCH(1,INDEX(('Списки блоков'!$I$2:$I986=B78)*(ROW('Списки блоков'!$I$2:$I986)&lt;&gt;ROW('Списки блоков'!$I$3)),0),0)),"","КГ,")
&amp;IF(ISERROR(MATCH(1,INDEX(('Списки блоков'!$J$2:$J986=B78)*(ROW('Списки блоков'!$J$2:$J986)&lt;&gt;ROW('Списки блоков'!$J$3)),0),0)),"","МП,")
&amp;IF(ISERROR(MATCH(1,INDEX(('Списки блоков'!$K$2:$K986=B78)*(ROW('Списки блоков'!$K$2:$K986)&lt;&gt;ROW('Списки блоков'!$K$3)),0),0)),"","Профорги,")
&amp;IF(ISERROR(MATCH(1,INDEX(('Списки блоков'!$L$2:$L986=B78)*(ROW('Списки блоков'!$L$2:$L986)&lt;&gt;ROW('Списки блоков'!$L$3)),0),0)),"","Спонсоры,")
&amp;IF(ISERROR(MATCH(1,INDEX(('Списки блоков'!$M$2:$M986=B78)*(ROW('Списки блоков'!$M$2:$M986)&lt;&gt;ROW('Списки блоков'!$M$3)),0),0)),"","Склад,")
&amp;IF(ISERROR(MATCH(1,INDEX(('Списки блоков'!$N$2:$N986=B78)*(ROW('Списки блоков'!$N$2:$N986)&lt;&gt;ROW('Списки блоков'!$N$3)),0),0)),"","Сценаристы,")
&amp;IF(ISERROR(MATCH(1,INDEX(('Списки блоков'!$O$2:$O986=B78)*(ROW('Списки блоков'!$O$2:$O986)&lt;&gt;ROW('Списки блоков'!$O$3)),0),0)),"","Техники,")
&amp;IF(ISERROR(MATCH(1,INDEX(('Списки блоков'!$P$2:$P986=B78)*(ROW('Списки блоков'!$P$2:$P986)&lt;&gt;ROW('Списки блоков'!$P$3)),0),0)),"","УРС,")
&amp;IF(ISERROR(MATCH(1,INDEX(('Списки блоков'!$Q$2:$Q986=B78)*(ROW('Списки блоков'!$Q$2:$Q986)&lt;&gt;ROW('Списки блоков'!$Q$3)),0),0)),"","Фото,")
&amp;IF(ISERROR(MATCH(1,INDEX((#REF!=B78)*(ROW(#REF!)&lt;&gt;ROW(#REF!)),0),0)),"","ЭкоБлок,")
&amp;IF(ISERROR(MATCH(1,INDEX(('Списки блоков'!$R$2:$R986=B78)*(ROW('Списки блоков'!$R$2:$R986)&lt;&gt;ROW('Списки блоков'!$R$3)),0),0)),"","HR,")
&amp;IF(ISERROR(MATCH(1,INDEX(('Списки блоков'!$S$2:$S986=B78)*(ROW('Списки блоков'!$S$2:$S986)&lt;&gt;ROW('Списки блоков'!$S$3)),0),0)),"","Instagram,")
&amp;IF(ISERROR(MATCH(1,INDEX(('Списки блоков'!$T$2:$T986=B78)*(ROW('Списки блоков'!$T$2:$T986)&lt;&gt;ROW('Списки блоков'!$T$3)),0),0)),"","Zachёt,")
&amp;IF(ISERROR(MATCH(1,INDEX(('Списки блоков'!$U$2:$U986=B78)*(ROW('Списки блоков'!$U$2:$U986)&lt;&gt;ROW('Списки блоков'!$U$3)),0),0)),"","IT,")
&amp;IF(ISERROR(MATCH(1,INDEX(('Списки блоков'!$V$2:$V986=B78)*(ROW('Списки блоков'!$V$2:$V986)&lt;&gt;ROW('Списки блоков'!$V$3)),0),0)),"","ДК,")
</f>
        <v>Спонсоры,Сценаристы,Фото,HR,IT,</v>
      </c>
      <c r="F78" s="14">
        <v>8.9642905501E10</v>
      </c>
      <c r="G78" s="12" t="s">
        <v>388</v>
      </c>
      <c r="H78" s="10" t="s">
        <v>389</v>
      </c>
      <c r="I78" s="10" t="s">
        <v>390</v>
      </c>
      <c r="J78" s="6" t="s">
        <v>22</v>
      </c>
    </row>
    <row r="79">
      <c r="A79" s="10" t="s">
        <v>391</v>
      </c>
      <c r="B79" s="2" t="str">
        <f t="shared" si="5"/>
        <v>Мельдианов Лев</v>
      </c>
      <c r="C79" s="9">
        <v>119.0</v>
      </c>
      <c r="D79" s="10" t="s">
        <v>392</v>
      </c>
      <c r="E79" s="2" t="str">
        <f t="array" ref="E79">IF(ISERROR(MATCH(1,INDEX(('Списки блоков'!$B$2:$B986=B79)*(ROW('Списки блоков'!$B$2:$B986)&lt;&gt;ROW('Списки блоков'!$B$3)),0),0)),"","БДНС,")
&amp;IF(ISERROR(MATCH(1,INDEX(('Списки блоков'!$C$2:$C986=B79)*(ROW('Списки блоков'!$C$2:$C986)&lt;&gt;ROW('Списки блоков'!$C$3)),0),0)),"","Видеолаба,")
&amp;IF(ISERROR(MATCH(1,INDEX(('Списки блоков'!$D$2:$D986=B79)*(ROW('Списки блоков'!$D$2:$D986)&lt;&gt;ROW('Списки блоков'!$D$3)),0),0)),"","Декораторы,")
&amp;IF(ISERROR(MATCH(1,INDEX(('Списки блоков'!$E$2:$E986=B79)*(ROW('Списки блоков'!$E$2:$E986)&lt;&gt;ROW('Списки блоков'!$E$3)),0),0)),"","Дизайн,")
&amp;IF(ISERROR(MATCH(1,INDEX(('Списки блоков'!$F$2:$F986=B79)*(ROW('Списки блоков'!$F$2:$F986)&lt;&gt;ROW('Списки блоков'!$F$3)),0),0)),"","Досуг,")
&amp;IF(ISERROR(MATCH(1,INDEX(('Списки блоков'!$G$2:$G986=B79)*(ROW('Списки блоков'!$G$2:$G986)&lt;&gt;ROW('Списки блоков'!$G$3)),0),0)),"","Закупки,")
&amp;IF(ISERROR(MATCH(1,INDEX(('Списки блоков'!$H$2:$H986=B79)*(ROW('Списки блоков'!$H$2:$H986)&lt;&gt;ROW('Списки блоков'!$H$3)),0),0)),"","ИнфоБлок,")
&amp;IF(ISERROR(MATCH(1,INDEX(('Списки блоков'!$I$2:$I986=B79)*(ROW('Списки блоков'!$I$2:$I986)&lt;&gt;ROW('Списки блоков'!$I$3)),0),0)),"","КГ,")
&amp;IF(ISERROR(MATCH(1,INDEX(('Списки блоков'!$J$2:$J986=B79)*(ROW('Списки блоков'!$J$2:$J986)&lt;&gt;ROW('Списки блоков'!$J$3)),0),0)),"","МП,")
&amp;IF(ISERROR(MATCH(1,INDEX(('Списки блоков'!$K$2:$K986=B79)*(ROW('Списки блоков'!$K$2:$K986)&lt;&gt;ROW('Списки блоков'!$K$3)),0),0)),"","Профорги,")
&amp;IF(ISERROR(MATCH(1,INDEX(('Списки блоков'!$L$2:$L986=B79)*(ROW('Списки блоков'!$L$2:$L986)&lt;&gt;ROW('Списки блоков'!$L$3)),0),0)),"","Спонсоры,")
&amp;IF(ISERROR(MATCH(1,INDEX(('Списки блоков'!$M$2:$M986=B79)*(ROW('Списки блоков'!$M$2:$M986)&lt;&gt;ROW('Списки блоков'!$M$3)),0),0)),"","Склад,")
&amp;IF(ISERROR(MATCH(1,INDEX(('Списки блоков'!$N$2:$N986=B79)*(ROW('Списки блоков'!$N$2:$N986)&lt;&gt;ROW('Списки блоков'!$N$3)),0),0)),"","Сценаристы,")
&amp;IF(ISERROR(MATCH(1,INDEX(('Списки блоков'!$O$2:$O986=B79)*(ROW('Списки блоков'!$O$2:$O986)&lt;&gt;ROW('Списки блоков'!$O$3)),0),0)),"","Техники,")
&amp;IF(ISERROR(MATCH(1,INDEX(('Списки блоков'!$P$2:$P986=B79)*(ROW('Списки блоков'!$P$2:$P986)&lt;&gt;ROW('Списки блоков'!$P$3)),0),0)),"","УРС,")
&amp;IF(ISERROR(MATCH(1,INDEX(('Списки блоков'!$Q$2:$Q986=B79)*(ROW('Списки блоков'!$Q$2:$Q986)&lt;&gt;ROW('Списки блоков'!$Q$3)),0),0)),"","Фото,")
&amp;IF(ISERROR(MATCH(1,INDEX((#REF!=B79)*(ROW(#REF!)&lt;&gt;ROW(#REF!)),0),0)),"","ЭкоБлок,")
&amp;IF(ISERROR(MATCH(1,INDEX(('Списки блоков'!$R$2:$R986=B79)*(ROW('Списки блоков'!$R$2:$R986)&lt;&gt;ROW('Списки блоков'!$R$3)),0),0)),"","HR,")
&amp;IF(ISERROR(MATCH(1,INDEX(('Списки блоков'!$S$2:$S986=B79)*(ROW('Списки блоков'!$S$2:$S986)&lt;&gt;ROW('Списки блоков'!$S$3)),0),0)),"","Instagram,")
&amp;IF(ISERROR(MATCH(1,INDEX(('Списки блоков'!$T$2:$T986=B79)*(ROW('Списки блоков'!$T$2:$T986)&lt;&gt;ROW('Списки блоков'!$T$3)),0),0)),"","Zachёt,")
&amp;IF(ISERROR(MATCH(1,INDEX(('Списки блоков'!$U$2:$U986=B79)*(ROW('Списки блоков'!$U$2:$U986)&lt;&gt;ROW('Списки блоков'!$U$3)),0),0)),"","IT,")
&amp;IF(ISERROR(MATCH(1,INDEX(('Списки блоков'!$V$2:$V986=B79)*(ROW('Списки блоков'!$V$2:$V986)&lt;&gt;ROW('Списки блоков'!$V$3)),0),0)),"","ДК,")
</f>
        <v>Видеолаба,Дизайн,Склад,IT,</v>
      </c>
      <c r="F79" s="11">
        <v>7.905563177E10</v>
      </c>
      <c r="G79" s="12" t="s">
        <v>393</v>
      </c>
      <c r="H79" s="12" t="s">
        <v>394</v>
      </c>
      <c r="I79" s="10" t="s">
        <v>395</v>
      </c>
      <c r="J79" s="6" t="s">
        <v>22</v>
      </c>
    </row>
    <row r="80">
      <c r="A80" s="6" t="s">
        <v>396</v>
      </c>
      <c r="B80" s="2" t="str">
        <f t="shared" si="5"/>
        <v>Минько Елисавета</v>
      </c>
      <c r="C80" s="9">
        <v>108.0</v>
      </c>
      <c r="D80" s="10" t="s">
        <v>397</v>
      </c>
      <c r="E80" s="2" t="str">
        <f t="array" ref="E80">IF(ISERROR(MATCH(1,INDEX(('Списки блоков'!$B$2:$B986=B80)*(ROW('Списки блоков'!$B$2:$B986)&lt;&gt;ROW('Списки блоков'!$B$3)),0),0)),"","БДНС,")
&amp;IF(ISERROR(MATCH(1,INDEX(('Списки блоков'!$C$2:$C986=B80)*(ROW('Списки блоков'!$C$2:$C986)&lt;&gt;ROW('Списки блоков'!$C$3)),0),0)),"","Видеолаба,")
&amp;IF(ISERROR(MATCH(1,INDEX(('Списки блоков'!$D$2:$D986=B80)*(ROW('Списки блоков'!$D$2:$D986)&lt;&gt;ROW('Списки блоков'!$D$3)),0),0)),"","Декораторы,")
&amp;IF(ISERROR(MATCH(1,INDEX(('Списки блоков'!$E$2:$E986=B80)*(ROW('Списки блоков'!$E$2:$E986)&lt;&gt;ROW('Списки блоков'!$E$3)),0),0)),"","Дизайн,")
&amp;IF(ISERROR(MATCH(1,INDEX(('Списки блоков'!$F$2:$F986=B80)*(ROW('Списки блоков'!$F$2:$F986)&lt;&gt;ROW('Списки блоков'!$F$3)),0),0)),"","Досуг,")
&amp;IF(ISERROR(MATCH(1,INDEX(('Списки блоков'!$G$2:$G986=B80)*(ROW('Списки блоков'!$G$2:$G986)&lt;&gt;ROW('Списки блоков'!$G$3)),0),0)),"","Закупки,")
&amp;IF(ISERROR(MATCH(1,INDEX(('Списки блоков'!$H$2:$H986=B80)*(ROW('Списки блоков'!$H$2:$H986)&lt;&gt;ROW('Списки блоков'!$H$3)),0),0)),"","ИнфоБлок,")
&amp;IF(ISERROR(MATCH(1,INDEX(('Списки блоков'!$I$2:$I986=B80)*(ROW('Списки блоков'!$I$2:$I986)&lt;&gt;ROW('Списки блоков'!$I$3)),0),0)),"","КГ,")
&amp;IF(ISERROR(MATCH(1,INDEX(('Списки блоков'!$J$2:$J986=B80)*(ROW('Списки блоков'!$J$2:$J986)&lt;&gt;ROW('Списки блоков'!$J$3)),0),0)),"","МП,")
&amp;IF(ISERROR(MATCH(1,INDEX(('Списки блоков'!$K$2:$K986=B80)*(ROW('Списки блоков'!$K$2:$K986)&lt;&gt;ROW('Списки блоков'!$K$3)),0),0)),"","Профорги,")
&amp;IF(ISERROR(MATCH(1,INDEX(('Списки блоков'!$L$2:$L986=B80)*(ROW('Списки блоков'!$L$2:$L986)&lt;&gt;ROW('Списки блоков'!$L$3)),0),0)),"","Спонсоры,")
&amp;IF(ISERROR(MATCH(1,INDEX(('Списки блоков'!$M$2:$M986=B80)*(ROW('Списки блоков'!$M$2:$M986)&lt;&gt;ROW('Списки блоков'!$M$3)),0),0)),"","Склад,")
&amp;IF(ISERROR(MATCH(1,INDEX(('Списки блоков'!$N$2:$N986=B80)*(ROW('Списки блоков'!$N$2:$N986)&lt;&gt;ROW('Списки блоков'!$N$3)),0),0)),"","Сценаристы,")
&amp;IF(ISERROR(MATCH(1,INDEX(('Списки блоков'!$O$2:$O986=B80)*(ROW('Списки блоков'!$O$2:$O986)&lt;&gt;ROW('Списки блоков'!$O$3)),0),0)),"","Техники,")
&amp;IF(ISERROR(MATCH(1,INDEX(('Списки блоков'!$P$2:$P986=B80)*(ROW('Списки блоков'!$P$2:$P986)&lt;&gt;ROW('Списки блоков'!$P$3)),0),0)),"","УРС,")
&amp;IF(ISERROR(MATCH(1,INDEX(('Списки блоков'!$Q$2:$Q986=B80)*(ROW('Списки блоков'!$Q$2:$Q986)&lt;&gt;ROW('Списки блоков'!$Q$3)),0),0)),"","Фото,")
&amp;IF(ISERROR(MATCH(1,INDEX((#REF!=B80)*(ROW(#REF!)&lt;&gt;ROW(#REF!)),0),0)),"","ЭкоБлок,")
&amp;IF(ISERROR(MATCH(1,INDEX(('Списки блоков'!$R$2:$R986=B80)*(ROW('Списки блоков'!$R$2:$R986)&lt;&gt;ROW('Списки блоков'!$R$3)),0),0)),"","HR,")
&amp;IF(ISERROR(MATCH(1,INDEX(('Списки блоков'!$S$2:$S986=B80)*(ROW('Списки блоков'!$S$2:$S986)&lt;&gt;ROW('Списки блоков'!$S$3)),0),0)),"","Instagram,")
&amp;IF(ISERROR(MATCH(1,INDEX(('Списки блоков'!$T$2:$T986=B80)*(ROW('Списки блоков'!$T$2:$T986)&lt;&gt;ROW('Списки блоков'!$T$3)),0),0)),"","Zachёt,")
&amp;IF(ISERROR(MATCH(1,INDEX(('Списки блоков'!$U$2:$U986=B80)*(ROW('Списки блоков'!$U$2:$U986)&lt;&gt;ROW('Списки блоков'!$U$3)),0),0)),"","IT,")
&amp;IF(ISERROR(MATCH(1,INDEX(('Списки блоков'!$V$2:$V986=B80)*(ROW('Списки блоков'!$V$2:$V986)&lt;&gt;ROW('Списки блоков'!$V$3)),0),0)),"","ДК,")
</f>
        <v>БДНС,Склад,Техники,HR,Zachёt,</v>
      </c>
      <c r="F80" s="14">
        <v>8.9163072604E10</v>
      </c>
      <c r="G80" s="12" t="s">
        <v>398</v>
      </c>
      <c r="H80" s="10" t="s">
        <v>399</v>
      </c>
      <c r="I80" s="10" t="s">
        <v>400</v>
      </c>
      <c r="J80" s="6" t="s">
        <v>22</v>
      </c>
    </row>
    <row r="81">
      <c r="A81" s="6" t="s">
        <v>401</v>
      </c>
      <c r="B81" s="2" t="str">
        <f t="shared" si="5"/>
        <v>Митрофанов Андрей</v>
      </c>
      <c r="C81" s="9">
        <v>327.0</v>
      </c>
      <c r="D81" s="10" t="s">
        <v>402</v>
      </c>
      <c r="E81" s="2" t="str">
        <f t="array" ref="E81">IF(ISERROR(MATCH(1,INDEX(('Списки блоков'!$B$2:$B986=B81)*(ROW('Списки блоков'!$B$2:$B986)&lt;&gt;ROW('Списки блоков'!$B$3)),0),0)),"","БДНС,")
&amp;IF(ISERROR(MATCH(1,INDEX(('Списки блоков'!$C$2:$C986=B81)*(ROW('Списки блоков'!$C$2:$C986)&lt;&gt;ROW('Списки блоков'!$C$3)),0),0)),"","Видеолаба,")
&amp;IF(ISERROR(MATCH(1,INDEX(('Списки блоков'!$D$2:$D986=B81)*(ROW('Списки блоков'!$D$2:$D986)&lt;&gt;ROW('Списки блоков'!$D$3)),0),0)),"","Декораторы,")
&amp;IF(ISERROR(MATCH(1,INDEX(('Списки блоков'!$E$2:$E986=B81)*(ROW('Списки блоков'!$E$2:$E986)&lt;&gt;ROW('Списки блоков'!$E$3)),0),0)),"","Дизайн,")
&amp;IF(ISERROR(MATCH(1,INDEX(('Списки блоков'!$F$2:$F986=B81)*(ROW('Списки блоков'!$F$2:$F986)&lt;&gt;ROW('Списки блоков'!$F$3)),0),0)),"","Досуг,")
&amp;IF(ISERROR(MATCH(1,INDEX(('Списки блоков'!$G$2:$G986=B81)*(ROW('Списки блоков'!$G$2:$G986)&lt;&gt;ROW('Списки блоков'!$G$3)),0),0)),"","Закупки,")
&amp;IF(ISERROR(MATCH(1,INDEX(('Списки блоков'!$H$2:$H986=B81)*(ROW('Списки блоков'!$H$2:$H986)&lt;&gt;ROW('Списки блоков'!$H$3)),0),0)),"","ИнфоБлок,")
&amp;IF(ISERROR(MATCH(1,INDEX(('Списки блоков'!$I$2:$I986=B81)*(ROW('Списки блоков'!$I$2:$I986)&lt;&gt;ROW('Списки блоков'!$I$3)),0),0)),"","КГ,")
&amp;IF(ISERROR(MATCH(1,INDEX(('Списки блоков'!$J$2:$J986=B81)*(ROW('Списки блоков'!$J$2:$J986)&lt;&gt;ROW('Списки блоков'!$J$3)),0),0)),"","МП,")
&amp;IF(ISERROR(MATCH(1,INDEX(('Списки блоков'!$K$2:$K986=B81)*(ROW('Списки блоков'!$K$2:$K986)&lt;&gt;ROW('Списки блоков'!$K$3)),0),0)),"","Профорги,")
&amp;IF(ISERROR(MATCH(1,INDEX(('Списки блоков'!$L$2:$L986=B81)*(ROW('Списки блоков'!$L$2:$L986)&lt;&gt;ROW('Списки блоков'!$L$3)),0),0)),"","Спонсоры,")
&amp;IF(ISERROR(MATCH(1,INDEX(('Списки блоков'!$M$2:$M986=B81)*(ROW('Списки блоков'!$M$2:$M986)&lt;&gt;ROW('Списки блоков'!$M$3)),0),0)),"","Склад,")
&amp;IF(ISERROR(MATCH(1,INDEX(('Списки блоков'!$N$2:$N986=B81)*(ROW('Списки блоков'!$N$2:$N986)&lt;&gt;ROW('Списки блоков'!$N$3)),0),0)),"","Сценаристы,")
&amp;IF(ISERROR(MATCH(1,INDEX(('Списки блоков'!$O$2:$O986=B81)*(ROW('Списки блоков'!$O$2:$O986)&lt;&gt;ROW('Списки блоков'!$O$3)),0),0)),"","Техники,")
&amp;IF(ISERROR(MATCH(1,INDEX(('Списки блоков'!$P$2:$P986=B81)*(ROW('Списки блоков'!$P$2:$P986)&lt;&gt;ROW('Списки блоков'!$P$3)),0),0)),"","УРС,")
&amp;IF(ISERROR(MATCH(1,INDEX(('Списки блоков'!$Q$2:$Q986=B81)*(ROW('Списки блоков'!$Q$2:$Q986)&lt;&gt;ROW('Списки блоков'!$Q$3)),0),0)),"","Фото,")
&amp;IF(ISERROR(MATCH(1,INDEX((#REF!=B81)*(ROW(#REF!)&lt;&gt;ROW(#REF!)),0),0)),"","ЭкоБлок,")
&amp;IF(ISERROR(MATCH(1,INDEX(('Списки блоков'!$R$2:$R986=B81)*(ROW('Списки блоков'!$R$2:$R986)&lt;&gt;ROW('Списки блоков'!$R$3)),0),0)),"","HR,")
&amp;IF(ISERROR(MATCH(1,INDEX(('Списки блоков'!$S$2:$S986=B81)*(ROW('Списки блоков'!$S$2:$S986)&lt;&gt;ROW('Списки блоков'!$S$3)),0),0)),"","Instagram,")
&amp;IF(ISERROR(MATCH(1,INDEX(('Списки блоков'!$T$2:$T986=B81)*(ROW('Списки блоков'!$T$2:$T986)&lt;&gt;ROW('Списки блоков'!$T$3)),0),0)),"","Zachёt,")
&amp;IF(ISERROR(MATCH(1,INDEX(('Списки блоков'!$U$2:$U986=B81)*(ROW('Списки блоков'!$U$2:$U986)&lt;&gt;ROW('Списки блоков'!$U$3)),0),0)),"","IT,")
&amp;IF(ISERROR(MATCH(1,INDEX(('Списки блоков'!$V$2:$V986=B81)*(ROW('Списки блоков'!$V$2:$V986)&lt;&gt;ROW('Списки блоков'!$V$3)),0),0)),"","ДК,")
</f>
        <v>Видеолаба,Дизайн,КГ,Спонсоры,Сценаристы,Техники,УРС,IT,</v>
      </c>
      <c r="F81" s="11">
        <v>8.9778080814E10</v>
      </c>
      <c r="G81" s="12" t="s">
        <v>403</v>
      </c>
      <c r="H81" s="10" t="s">
        <v>404</v>
      </c>
      <c r="I81" s="10" t="s">
        <v>405</v>
      </c>
      <c r="J81" s="6" t="s">
        <v>22</v>
      </c>
    </row>
    <row r="82">
      <c r="A82" s="7" t="s">
        <v>406</v>
      </c>
      <c r="B82" s="2" t="str">
        <f t="shared" si="5"/>
        <v>Митькиных Мария</v>
      </c>
      <c r="C82" s="3">
        <v>111.0</v>
      </c>
      <c r="D82" s="2" t="s">
        <v>407</v>
      </c>
      <c r="E82" s="2" t="str">
        <f t="array" ref="E82">IF(ISERROR(MATCH(1,INDEX(('Списки блоков'!$B$2:$B986=B82)*(ROW('Списки блоков'!$B$2:$B986)&lt;&gt;ROW('Списки блоков'!$B$3)),0),0)),"","БДНС,")
&amp;IF(ISERROR(MATCH(1,INDEX(('Списки блоков'!$C$2:$C986=B82)*(ROW('Списки блоков'!$C$2:$C986)&lt;&gt;ROW('Списки блоков'!$C$3)),0),0)),"","Видеолаба,")
&amp;IF(ISERROR(MATCH(1,INDEX(('Списки блоков'!$D$2:$D986=B82)*(ROW('Списки блоков'!$D$2:$D986)&lt;&gt;ROW('Списки блоков'!$D$3)),0),0)),"","Декораторы,")
&amp;IF(ISERROR(MATCH(1,INDEX(('Списки блоков'!$E$2:$E986=B82)*(ROW('Списки блоков'!$E$2:$E986)&lt;&gt;ROW('Списки блоков'!$E$3)),0),0)),"","Дизайн,")
&amp;IF(ISERROR(MATCH(1,INDEX(('Списки блоков'!$F$2:$F986=B82)*(ROW('Списки блоков'!$F$2:$F986)&lt;&gt;ROW('Списки блоков'!$F$3)),0),0)),"","Досуг,")
&amp;IF(ISERROR(MATCH(1,INDEX(('Списки блоков'!$G$2:$G986=B82)*(ROW('Списки блоков'!$G$2:$G986)&lt;&gt;ROW('Списки блоков'!$G$3)),0),0)),"","Закупки,")
&amp;IF(ISERROR(MATCH(1,INDEX(('Списки блоков'!$H$2:$H986=B82)*(ROW('Списки блоков'!$H$2:$H986)&lt;&gt;ROW('Списки блоков'!$H$3)),0),0)),"","ИнфоБлок,")
&amp;IF(ISERROR(MATCH(1,INDEX(('Списки блоков'!$I$2:$I986=B82)*(ROW('Списки блоков'!$I$2:$I986)&lt;&gt;ROW('Списки блоков'!$I$3)),0),0)),"","КГ,")
&amp;IF(ISERROR(MATCH(1,INDEX(('Списки блоков'!$J$2:$J986=B82)*(ROW('Списки блоков'!$J$2:$J986)&lt;&gt;ROW('Списки блоков'!$J$3)),0),0)),"","МП,")
&amp;IF(ISERROR(MATCH(1,INDEX(('Списки блоков'!$K$2:$K986=B82)*(ROW('Списки блоков'!$K$2:$K986)&lt;&gt;ROW('Списки блоков'!$K$3)),0),0)),"","Профорги,")
&amp;IF(ISERROR(MATCH(1,INDEX(('Списки блоков'!$L$2:$L986=B82)*(ROW('Списки блоков'!$L$2:$L986)&lt;&gt;ROW('Списки блоков'!$L$3)),0),0)),"","Спонсоры,")
&amp;IF(ISERROR(MATCH(1,INDEX(('Списки блоков'!$M$2:$M986=B82)*(ROW('Списки блоков'!$M$2:$M986)&lt;&gt;ROW('Списки блоков'!$M$3)),0),0)),"","Склад,")
&amp;IF(ISERROR(MATCH(1,INDEX(('Списки блоков'!$N$2:$N986=B82)*(ROW('Списки блоков'!$N$2:$N986)&lt;&gt;ROW('Списки блоков'!$N$3)),0),0)),"","Сценаристы,")
&amp;IF(ISERROR(MATCH(1,INDEX(('Списки блоков'!$O$2:$O986=B82)*(ROW('Списки блоков'!$O$2:$O986)&lt;&gt;ROW('Списки блоков'!$O$3)),0),0)),"","Техники,")
&amp;IF(ISERROR(MATCH(1,INDEX(('Списки блоков'!$P$2:$P986=B82)*(ROW('Списки блоков'!$P$2:$P986)&lt;&gt;ROW('Списки блоков'!$P$3)),0),0)),"","УРС,")
&amp;IF(ISERROR(MATCH(1,INDEX(('Списки блоков'!$Q$2:$Q986=B82)*(ROW('Списки блоков'!$Q$2:$Q986)&lt;&gt;ROW('Списки блоков'!$Q$3)),0),0)),"","Фото,")
&amp;IF(ISERROR(MATCH(1,INDEX((#REF!=B82)*(ROW(#REF!)&lt;&gt;ROW(#REF!)),0),0)),"","ЭкоБлок,")
&amp;IF(ISERROR(MATCH(1,INDEX(('Списки блоков'!$R$2:$R986=B82)*(ROW('Списки блоков'!$R$2:$R986)&lt;&gt;ROW('Списки блоков'!$R$3)),0),0)),"","HR,")
&amp;IF(ISERROR(MATCH(1,INDEX(('Списки блоков'!$S$2:$S986=B82)*(ROW('Списки блоков'!$S$2:$S986)&lt;&gt;ROW('Списки блоков'!$S$3)),0),0)),"","Instagram,")
&amp;IF(ISERROR(MATCH(1,INDEX(('Списки блоков'!$T$2:$T986=B82)*(ROW('Списки блоков'!$T$2:$T986)&lt;&gt;ROW('Списки блоков'!$T$3)),0),0)),"","Zachёt,")
&amp;IF(ISERROR(MATCH(1,INDEX(('Списки блоков'!$U$2:$U986=B82)*(ROW('Списки блоков'!$U$2:$U986)&lt;&gt;ROW('Списки блоков'!$U$3)),0),0)),"","IT,")
&amp;IF(ISERROR(MATCH(1,INDEX(('Списки блоков'!$V$2:$V986=B82)*(ROW('Списки блоков'!$V$2:$V986)&lt;&gt;ROW('Списки блоков'!$V$3)),0),0)),"","ДК,")
</f>
        <v>Декораторы,Дизайн,ИнфоБлок,Сценаристы,</v>
      </c>
      <c r="F82" s="8">
        <v>8.9642520505E10</v>
      </c>
      <c r="G82" s="5" t="s">
        <v>408</v>
      </c>
      <c r="H82" s="5" t="s">
        <v>409</v>
      </c>
      <c r="I82" s="2" t="s">
        <v>410</v>
      </c>
      <c r="J82" s="7" t="s">
        <v>22</v>
      </c>
    </row>
    <row r="83">
      <c r="A83" s="7" t="s">
        <v>411</v>
      </c>
      <c r="B83" s="2" t="str">
        <f t="shared" si="5"/>
        <v>Мозжухин Александр</v>
      </c>
      <c r="C83" s="3">
        <v>421.0</v>
      </c>
      <c r="D83" s="2" t="s">
        <v>412</v>
      </c>
      <c r="E83" s="2" t="str">
        <f t="array" ref="E83">IF(ISERROR(MATCH(1,INDEX(('Списки блоков'!$B$2:$B986=B83)*(ROW('Списки блоков'!$B$2:$B986)&lt;&gt;ROW('Списки блоков'!$B$3)),0),0)),"","БДНС,")
&amp;IF(ISERROR(MATCH(1,INDEX(('Списки блоков'!$C$2:$C986=B83)*(ROW('Списки блоков'!$C$2:$C986)&lt;&gt;ROW('Списки блоков'!$C$3)),0),0)),"","Видеолаба,")
&amp;IF(ISERROR(MATCH(1,INDEX(('Списки блоков'!$D$2:$D986=B83)*(ROW('Списки блоков'!$D$2:$D986)&lt;&gt;ROW('Списки блоков'!$D$3)),0),0)),"","Декораторы,")
&amp;IF(ISERROR(MATCH(1,INDEX(('Списки блоков'!$E$2:$E986=B83)*(ROW('Списки блоков'!$E$2:$E986)&lt;&gt;ROW('Списки блоков'!$E$3)),0),0)),"","Дизайн,")
&amp;IF(ISERROR(MATCH(1,INDEX(('Списки блоков'!$F$2:$F986=B83)*(ROW('Списки блоков'!$F$2:$F986)&lt;&gt;ROW('Списки блоков'!$F$3)),0),0)),"","Досуг,")
&amp;IF(ISERROR(MATCH(1,INDEX(('Списки блоков'!$G$2:$G986=B83)*(ROW('Списки блоков'!$G$2:$G986)&lt;&gt;ROW('Списки блоков'!$G$3)),0),0)),"","Закупки,")
&amp;IF(ISERROR(MATCH(1,INDEX(('Списки блоков'!$H$2:$H986=B83)*(ROW('Списки блоков'!$H$2:$H986)&lt;&gt;ROW('Списки блоков'!$H$3)),0),0)),"","ИнфоБлок,")
&amp;IF(ISERROR(MATCH(1,INDEX(('Списки блоков'!$I$2:$I986=B83)*(ROW('Списки блоков'!$I$2:$I986)&lt;&gt;ROW('Списки блоков'!$I$3)),0),0)),"","КГ,")
&amp;IF(ISERROR(MATCH(1,INDEX(('Списки блоков'!$J$2:$J986=B83)*(ROW('Списки блоков'!$J$2:$J986)&lt;&gt;ROW('Списки блоков'!$J$3)),0),0)),"","МП,")
&amp;IF(ISERROR(MATCH(1,INDEX(('Списки блоков'!$K$2:$K986=B83)*(ROW('Списки блоков'!$K$2:$K986)&lt;&gt;ROW('Списки блоков'!$K$3)),0),0)),"","Профорги,")
&amp;IF(ISERROR(MATCH(1,INDEX(('Списки блоков'!$L$2:$L986=B83)*(ROW('Списки блоков'!$L$2:$L986)&lt;&gt;ROW('Списки блоков'!$L$3)),0),0)),"","Спонсоры,")
&amp;IF(ISERROR(MATCH(1,INDEX(('Списки блоков'!$M$2:$M986=B83)*(ROW('Списки блоков'!$M$2:$M986)&lt;&gt;ROW('Списки блоков'!$M$3)),0),0)),"","Склад,")
&amp;IF(ISERROR(MATCH(1,INDEX(('Списки блоков'!$N$2:$N986=B83)*(ROW('Списки блоков'!$N$2:$N986)&lt;&gt;ROW('Списки блоков'!$N$3)),0),0)),"","Сценаристы,")
&amp;IF(ISERROR(MATCH(1,INDEX(('Списки блоков'!$O$2:$O986=B83)*(ROW('Списки блоков'!$O$2:$O986)&lt;&gt;ROW('Списки блоков'!$O$3)),0),0)),"","Техники,")
&amp;IF(ISERROR(MATCH(1,INDEX(('Списки блоков'!$P$2:$P986=B83)*(ROW('Списки блоков'!$P$2:$P986)&lt;&gt;ROW('Списки блоков'!$P$3)),0),0)),"","УРС,")
&amp;IF(ISERROR(MATCH(1,INDEX(('Списки блоков'!$Q$2:$Q986=B83)*(ROW('Списки блоков'!$Q$2:$Q986)&lt;&gt;ROW('Списки блоков'!$Q$3)),0),0)),"","Фото,")
&amp;IF(ISERROR(MATCH(1,INDEX((#REF!=B83)*(ROW(#REF!)&lt;&gt;ROW(#REF!)),0),0)),"","ЭкоБлок,")
&amp;IF(ISERROR(MATCH(1,INDEX(('Списки блоков'!$R$2:$R986=B83)*(ROW('Списки блоков'!$R$2:$R986)&lt;&gt;ROW('Списки блоков'!$R$3)),0),0)),"","HR,")
&amp;IF(ISERROR(MATCH(1,INDEX(('Списки блоков'!$S$2:$S986=B83)*(ROW('Списки блоков'!$S$2:$S986)&lt;&gt;ROW('Списки блоков'!$S$3)),0),0)),"","Instagram,")
&amp;IF(ISERROR(MATCH(1,INDEX(('Списки блоков'!$T$2:$T986=B83)*(ROW('Списки блоков'!$T$2:$T986)&lt;&gt;ROW('Списки блоков'!$T$3)),0),0)),"","Zachёt,")
&amp;IF(ISERROR(MATCH(1,INDEX(('Списки блоков'!$U$2:$U986=B83)*(ROW('Списки блоков'!$U$2:$U986)&lt;&gt;ROW('Списки блоков'!$U$3)),0),0)),"","IT,")
&amp;IF(ISERROR(MATCH(1,INDEX(('Списки блоков'!$V$2:$V986=B83)*(ROW('Списки блоков'!$V$2:$V986)&lt;&gt;ROW('Списки блоков'!$V$3)),0),0)),"","ДК,")
</f>
        <v>ИнфоБлок,Склад,Сценаристы,HR,IT,</v>
      </c>
      <c r="F83" s="4">
        <v>8.9269031263E10</v>
      </c>
      <c r="G83" s="5" t="s">
        <v>413</v>
      </c>
      <c r="H83" s="5" t="s">
        <v>414</v>
      </c>
      <c r="I83" s="2" t="s">
        <v>415</v>
      </c>
      <c r="J83" s="7" t="s">
        <v>22</v>
      </c>
    </row>
    <row r="84">
      <c r="A84" s="16" t="s">
        <v>416</v>
      </c>
      <c r="B84" s="2" t="str">
        <f t="shared" si="5"/>
        <v>Моисеев Даниил</v>
      </c>
      <c r="C84" s="9">
        <v>141.0</v>
      </c>
      <c r="D84" s="10" t="s">
        <v>417</v>
      </c>
      <c r="E84" s="2" t="str">
        <f t="array" ref="E84">IF(ISERROR(MATCH(1,INDEX(('Списки блоков'!$B$2:$B986=B84)*(ROW('Списки блоков'!$B$2:$B986)&lt;&gt;ROW('Списки блоков'!$B$3)),0),0)),"","БДНС,")
&amp;IF(ISERROR(MATCH(1,INDEX(('Списки блоков'!$C$2:$C986=B84)*(ROW('Списки блоков'!$C$2:$C986)&lt;&gt;ROW('Списки блоков'!$C$3)),0),0)),"","Видеолаба,")
&amp;IF(ISERROR(MATCH(1,INDEX(('Списки блоков'!$D$2:$D986=B84)*(ROW('Списки блоков'!$D$2:$D986)&lt;&gt;ROW('Списки блоков'!$D$3)),0),0)),"","Декораторы,")
&amp;IF(ISERROR(MATCH(1,INDEX(('Списки блоков'!$E$2:$E986=B84)*(ROW('Списки блоков'!$E$2:$E986)&lt;&gt;ROW('Списки блоков'!$E$3)),0),0)),"","Дизайн,")
&amp;IF(ISERROR(MATCH(1,INDEX(('Списки блоков'!$F$2:$F986=B84)*(ROW('Списки блоков'!$F$2:$F986)&lt;&gt;ROW('Списки блоков'!$F$3)),0),0)),"","Досуг,")
&amp;IF(ISERROR(MATCH(1,INDEX(('Списки блоков'!$G$2:$G986=B84)*(ROW('Списки блоков'!$G$2:$G986)&lt;&gt;ROW('Списки блоков'!$G$3)),0),0)),"","Закупки,")
&amp;IF(ISERROR(MATCH(1,INDEX(('Списки блоков'!$H$2:$H986=B84)*(ROW('Списки блоков'!$H$2:$H986)&lt;&gt;ROW('Списки блоков'!$H$3)),0),0)),"","ИнфоБлок,")
&amp;IF(ISERROR(MATCH(1,INDEX(('Списки блоков'!$I$2:$I986=B84)*(ROW('Списки блоков'!$I$2:$I986)&lt;&gt;ROW('Списки блоков'!$I$3)),0),0)),"","КГ,")
&amp;IF(ISERROR(MATCH(1,INDEX(('Списки блоков'!$J$2:$J986=B84)*(ROW('Списки блоков'!$J$2:$J986)&lt;&gt;ROW('Списки блоков'!$J$3)),0),0)),"","МП,")
&amp;IF(ISERROR(MATCH(1,INDEX(('Списки блоков'!$K$2:$K986=B84)*(ROW('Списки блоков'!$K$2:$K986)&lt;&gt;ROW('Списки блоков'!$K$3)),0),0)),"","Профорги,")
&amp;IF(ISERROR(MATCH(1,INDEX(('Списки блоков'!$L$2:$L986=B84)*(ROW('Списки блоков'!$L$2:$L986)&lt;&gt;ROW('Списки блоков'!$L$3)),0),0)),"","Спонсоры,")
&amp;IF(ISERROR(MATCH(1,INDEX(('Списки блоков'!$M$2:$M986=B84)*(ROW('Списки блоков'!$M$2:$M986)&lt;&gt;ROW('Списки блоков'!$M$3)),0),0)),"","Склад,")
&amp;IF(ISERROR(MATCH(1,INDEX(('Списки блоков'!$N$2:$N986=B84)*(ROW('Списки блоков'!$N$2:$N986)&lt;&gt;ROW('Списки блоков'!$N$3)),0),0)),"","Сценаристы,")
&amp;IF(ISERROR(MATCH(1,INDEX(('Списки блоков'!$O$2:$O986=B84)*(ROW('Списки блоков'!$O$2:$O986)&lt;&gt;ROW('Списки блоков'!$O$3)),0),0)),"","Техники,")
&amp;IF(ISERROR(MATCH(1,INDEX(('Списки блоков'!$P$2:$P986=B84)*(ROW('Списки блоков'!$P$2:$P986)&lt;&gt;ROW('Списки блоков'!$P$3)),0),0)),"","УРС,")
&amp;IF(ISERROR(MATCH(1,INDEX(('Списки блоков'!$Q$2:$Q986=B84)*(ROW('Списки блоков'!$Q$2:$Q986)&lt;&gt;ROW('Списки блоков'!$Q$3)),0),0)),"","Фото,")
&amp;IF(ISERROR(MATCH(1,INDEX((#REF!=B84)*(ROW(#REF!)&lt;&gt;ROW(#REF!)),0),0)),"","ЭкоБлок,")
&amp;IF(ISERROR(MATCH(1,INDEX(('Списки блоков'!$R$2:$R986=B84)*(ROW('Списки блоков'!$R$2:$R986)&lt;&gt;ROW('Списки блоков'!$R$3)),0),0)),"","HR,")
&amp;IF(ISERROR(MATCH(1,INDEX(('Списки блоков'!$S$2:$S986=B84)*(ROW('Списки блоков'!$S$2:$S986)&lt;&gt;ROW('Списки блоков'!$S$3)),0),0)),"","Instagram,")
&amp;IF(ISERROR(MATCH(1,INDEX(('Списки блоков'!$T$2:$T986=B84)*(ROW('Списки блоков'!$T$2:$T986)&lt;&gt;ROW('Списки блоков'!$T$3)),0),0)),"","Zachёt,")
&amp;IF(ISERROR(MATCH(1,INDEX(('Списки блоков'!$U$2:$U986=B84)*(ROW('Списки блоков'!$U$2:$U986)&lt;&gt;ROW('Списки блоков'!$U$3)),0),0)),"","IT,")
&amp;IF(ISERROR(MATCH(1,INDEX(('Списки блоков'!$V$2:$V986=B84)*(ROW('Списки блоков'!$V$2:$V986)&lt;&gt;ROW('Списки блоков'!$V$3)),0),0)),"","ДК,")
</f>
        <v>IT,</v>
      </c>
      <c r="F84" s="11">
        <v>8.9663181268E10</v>
      </c>
      <c r="G84" s="12" t="s">
        <v>418</v>
      </c>
      <c r="H84" s="10" t="s">
        <v>419</v>
      </c>
      <c r="I84" s="10" t="s">
        <v>420</v>
      </c>
      <c r="J84" s="6" t="s">
        <v>22</v>
      </c>
    </row>
    <row r="85">
      <c r="A85" s="6" t="s">
        <v>421</v>
      </c>
      <c r="B85" s="2" t="str">
        <f t="shared" si="5"/>
        <v>Морозова Виктория</v>
      </c>
      <c r="C85" s="9">
        <v>108.0</v>
      </c>
      <c r="D85" s="10" t="s">
        <v>422</v>
      </c>
      <c r="E85" s="2" t="str">
        <f t="array" ref="E85">IF(ISERROR(MATCH(1,INDEX(('Списки блоков'!$B$2:$B986=B85)*(ROW('Списки блоков'!$B$2:$B986)&lt;&gt;ROW('Списки блоков'!$B$3)),0),0)),"","БДНС,")
&amp;IF(ISERROR(MATCH(1,INDEX(('Списки блоков'!$C$2:$C986=B85)*(ROW('Списки блоков'!$C$2:$C986)&lt;&gt;ROW('Списки блоков'!$C$3)),0),0)),"","Видеолаба,")
&amp;IF(ISERROR(MATCH(1,INDEX(('Списки блоков'!$D$2:$D986=B85)*(ROW('Списки блоков'!$D$2:$D986)&lt;&gt;ROW('Списки блоков'!$D$3)),0),0)),"","Декораторы,")
&amp;IF(ISERROR(MATCH(1,INDEX(('Списки блоков'!$E$2:$E986=B85)*(ROW('Списки блоков'!$E$2:$E986)&lt;&gt;ROW('Списки блоков'!$E$3)),0),0)),"","Дизайн,")
&amp;IF(ISERROR(MATCH(1,INDEX(('Списки блоков'!$F$2:$F986=B85)*(ROW('Списки блоков'!$F$2:$F986)&lt;&gt;ROW('Списки блоков'!$F$3)),0),0)),"","Досуг,")
&amp;IF(ISERROR(MATCH(1,INDEX(('Списки блоков'!$G$2:$G986=B85)*(ROW('Списки блоков'!$G$2:$G986)&lt;&gt;ROW('Списки блоков'!$G$3)),0),0)),"","Закупки,")
&amp;IF(ISERROR(MATCH(1,INDEX(('Списки блоков'!$H$2:$H986=B85)*(ROW('Списки блоков'!$H$2:$H986)&lt;&gt;ROW('Списки блоков'!$H$3)),0),0)),"","ИнфоБлок,")
&amp;IF(ISERROR(MATCH(1,INDEX(('Списки блоков'!$I$2:$I986=B85)*(ROW('Списки блоков'!$I$2:$I986)&lt;&gt;ROW('Списки блоков'!$I$3)),0),0)),"","КГ,")
&amp;IF(ISERROR(MATCH(1,INDEX(('Списки блоков'!$J$2:$J986=B85)*(ROW('Списки блоков'!$J$2:$J986)&lt;&gt;ROW('Списки блоков'!$J$3)),0),0)),"","МП,")
&amp;IF(ISERROR(MATCH(1,INDEX(('Списки блоков'!$K$2:$K986=B85)*(ROW('Списки блоков'!$K$2:$K986)&lt;&gt;ROW('Списки блоков'!$K$3)),0),0)),"","Профорги,")
&amp;IF(ISERROR(MATCH(1,INDEX(('Списки блоков'!$L$2:$L986=B85)*(ROW('Списки блоков'!$L$2:$L986)&lt;&gt;ROW('Списки блоков'!$L$3)),0),0)),"","Спонсоры,")
&amp;IF(ISERROR(MATCH(1,INDEX(('Списки блоков'!$M$2:$M986=B85)*(ROW('Списки блоков'!$M$2:$M986)&lt;&gt;ROW('Списки блоков'!$M$3)),0),0)),"","Склад,")
&amp;IF(ISERROR(MATCH(1,INDEX(('Списки блоков'!$N$2:$N986=B85)*(ROW('Списки блоков'!$N$2:$N986)&lt;&gt;ROW('Списки блоков'!$N$3)),0),0)),"","Сценаристы,")
&amp;IF(ISERROR(MATCH(1,INDEX(('Списки блоков'!$O$2:$O986=B85)*(ROW('Списки блоков'!$O$2:$O986)&lt;&gt;ROW('Списки блоков'!$O$3)),0),0)),"","Техники,")
&amp;IF(ISERROR(MATCH(1,INDEX(('Списки блоков'!$P$2:$P986=B85)*(ROW('Списки блоков'!$P$2:$P986)&lt;&gt;ROW('Списки блоков'!$P$3)),0),0)),"","УРС,")
&amp;IF(ISERROR(MATCH(1,INDEX(('Списки блоков'!$Q$2:$Q986=B85)*(ROW('Списки блоков'!$Q$2:$Q986)&lt;&gt;ROW('Списки блоков'!$Q$3)),0),0)),"","Фото,")
&amp;IF(ISERROR(MATCH(1,INDEX((#REF!=B85)*(ROW(#REF!)&lt;&gt;ROW(#REF!)),0),0)),"","ЭкоБлок,")
&amp;IF(ISERROR(MATCH(1,INDEX(('Списки блоков'!$R$2:$R986=B85)*(ROW('Списки блоков'!$R$2:$R986)&lt;&gt;ROW('Списки блоков'!$R$3)),0),0)),"","HR,")
&amp;IF(ISERROR(MATCH(1,INDEX(('Списки блоков'!$S$2:$S986=B85)*(ROW('Списки блоков'!$S$2:$S986)&lt;&gt;ROW('Списки блоков'!$S$3)),0),0)),"","Instagram,")
&amp;IF(ISERROR(MATCH(1,INDEX(('Списки блоков'!$T$2:$T986=B85)*(ROW('Списки блоков'!$T$2:$T986)&lt;&gt;ROW('Списки блоков'!$T$3)),0),0)),"","Zachёt,")
&amp;IF(ISERROR(MATCH(1,INDEX(('Списки блоков'!$U$2:$U986=B85)*(ROW('Списки блоков'!$U$2:$U986)&lt;&gt;ROW('Списки блоков'!$U$3)),0),0)),"","IT,")
&amp;IF(ISERROR(MATCH(1,INDEX(('Списки блоков'!$V$2:$V986=B85)*(ROW('Списки блоков'!$V$2:$V986)&lt;&gt;ROW('Списки блоков'!$V$3)),0),0)),"","ДК,")
</f>
        <v>Закупки,Техники,Zachёt,ДК,</v>
      </c>
      <c r="F85" s="14">
        <v>8.9040072644E10</v>
      </c>
      <c r="G85" s="12" t="s">
        <v>423</v>
      </c>
      <c r="H85" s="18" t="s">
        <v>424</v>
      </c>
      <c r="I85" s="10" t="s">
        <v>425</v>
      </c>
      <c r="J85" s="6" t="s">
        <v>15</v>
      </c>
    </row>
    <row r="86">
      <c r="A86" s="10" t="s">
        <v>426</v>
      </c>
      <c r="B86" s="2" t="str">
        <f t="shared" si="5"/>
        <v>Мухтаров Азамат</v>
      </c>
      <c r="C86" s="9">
        <v>207.0</v>
      </c>
      <c r="D86" s="10" t="s">
        <v>50</v>
      </c>
      <c r="E86" s="2" t="str">
        <f t="array" ref="E86">IF(ISERROR(MATCH(1,INDEX(('Списки блоков'!$B$2:$B986=B86)*(ROW('Списки блоков'!$B$2:$B986)&lt;&gt;ROW('Списки блоков'!$B$3)),0),0)),"","БДНС,")
&amp;IF(ISERROR(MATCH(1,INDEX(('Списки блоков'!$C$2:$C986=B86)*(ROW('Списки блоков'!$C$2:$C986)&lt;&gt;ROW('Списки блоков'!$C$3)),0),0)),"","Видеолаба,")
&amp;IF(ISERROR(MATCH(1,INDEX(('Списки блоков'!$D$2:$D986=B86)*(ROW('Списки блоков'!$D$2:$D986)&lt;&gt;ROW('Списки блоков'!$D$3)),0),0)),"","Декораторы,")
&amp;IF(ISERROR(MATCH(1,INDEX(('Списки блоков'!$E$2:$E986=B86)*(ROW('Списки блоков'!$E$2:$E986)&lt;&gt;ROW('Списки блоков'!$E$3)),0),0)),"","Дизайн,")
&amp;IF(ISERROR(MATCH(1,INDEX(('Списки блоков'!$F$2:$F986=B86)*(ROW('Списки блоков'!$F$2:$F986)&lt;&gt;ROW('Списки блоков'!$F$3)),0),0)),"","Досуг,")
&amp;IF(ISERROR(MATCH(1,INDEX(('Списки блоков'!$G$2:$G986=B86)*(ROW('Списки блоков'!$G$2:$G986)&lt;&gt;ROW('Списки блоков'!$G$3)),0),0)),"","Закупки,")
&amp;IF(ISERROR(MATCH(1,INDEX(('Списки блоков'!$H$2:$H986=B86)*(ROW('Списки блоков'!$H$2:$H986)&lt;&gt;ROW('Списки блоков'!$H$3)),0),0)),"","ИнфоБлок,")
&amp;IF(ISERROR(MATCH(1,INDEX(('Списки блоков'!$I$2:$I986=B86)*(ROW('Списки блоков'!$I$2:$I986)&lt;&gt;ROW('Списки блоков'!$I$3)),0),0)),"","КГ,")
&amp;IF(ISERROR(MATCH(1,INDEX(('Списки блоков'!$J$2:$J986=B86)*(ROW('Списки блоков'!$J$2:$J986)&lt;&gt;ROW('Списки блоков'!$J$3)),0),0)),"","МП,")
&amp;IF(ISERROR(MATCH(1,INDEX(('Списки блоков'!$K$2:$K986=B86)*(ROW('Списки блоков'!$K$2:$K986)&lt;&gt;ROW('Списки блоков'!$K$3)),0),0)),"","Профорги,")
&amp;IF(ISERROR(MATCH(1,INDEX(('Списки блоков'!$L$2:$L986=B86)*(ROW('Списки блоков'!$L$2:$L986)&lt;&gt;ROW('Списки блоков'!$L$3)),0),0)),"","Спонсоры,")
&amp;IF(ISERROR(MATCH(1,INDEX(('Списки блоков'!$M$2:$M986=B86)*(ROW('Списки блоков'!$M$2:$M986)&lt;&gt;ROW('Списки блоков'!$M$3)),0),0)),"","Склад,")
&amp;IF(ISERROR(MATCH(1,INDEX(('Списки блоков'!$N$2:$N986=B86)*(ROW('Списки блоков'!$N$2:$N986)&lt;&gt;ROW('Списки блоков'!$N$3)),0),0)),"","Сценаристы,")
&amp;IF(ISERROR(MATCH(1,INDEX(('Списки блоков'!$O$2:$O986=B86)*(ROW('Списки блоков'!$O$2:$O986)&lt;&gt;ROW('Списки блоков'!$O$3)),0),0)),"","Техники,")
&amp;IF(ISERROR(MATCH(1,INDEX(('Списки блоков'!$P$2:$P986=B86)*(ROW('Списки блоков'!$P$2:$P986)&lt;&gt;ROW('Списки блоков'!$P$3)),0),0)),"","УРС,")
&amp;IF(ISERROR(MATCH(1,INDEX(('Списки блоков'!$Q$2:$Q986=B86)*(ROW('Списки блоков'!$Q$2:$Q986)&lt;&gt;ROW('Списки блоков'!$Q$3)),0),0)),"","Фото,")
&amp;IF(ISERROR(MATCH(1,INDEX((#REF!=B86)*(ROW(#REF!)&lt;&gt;ROW(#REF!)),0),0)),"","ЭкоБлок,")
&amp;IF(ISERROR(MATCH(1,INDEX(('Списки блоков'!$R$2:$R986=B86)*(ROW('Списки блоков'!$R$2:$R986)&lt;&gt;ROW('Списки блоков'!$R$3)),0),0)),"","HR,")
&amp;IF(ISERROR(MATCH(1,INDEX(('Списки блоков'!$S$2:$S986=B86)*(ROW('Списки блоков'!$S$2:$S986)&lt;&gt;ROW('Списки блоков'!$S$3)),0),0)),"","Instagram,")
&amp;IF(ISERROR(MATCH(1,INDEX(('Списки блоков'!$T$2:$T986=B86)*(ROW('Списки блоков'!$T$2:$T986)&lt;&gt;ROW('Списки блоков'!$T$3)),0),0)),"","Zachёt,")
&amp;IF(ISERROR(MATCH(1,INDEX(('Списки блоков'!$U$2:$U986=B86)*(ROW('Списки блоков'!$U$2:$U986)&lt;&gt;ROW('Списки блоков'!$U$3)),0),0)),"","IT,")
&amp;IF(ISERROR(MATCH(1,INDEX(('Списки блоков'!$V$2:$V986=B86)*(ROW('Списки блоков'!$V$2:$V986)&lt;&gt;ROW('Списки блоков'!$V$3)),0),0)),"","ДК,")
</f>
        <v>Досуг,Закупки,Спонсоры,Zachёt,</v>
      </c>
      <c r="F86" s="14">
        <v>8.9250611727E10</v>
      </c>
      <c r="G86" s="12" t="s">
        <v>427</v>
      </c>
      <c r="H86" s="10" t="s">
        <v>428</v>
      </c>
      <c r="I86" s="10" t="s">
        <v>429</v>
      </c>
      <c r="J86" s="6" t="s">
        <v>22</v>
      </c>
    </row>
    <row r="87">
      <c r="A87" s="7" t="s">
        <v>430</v>
      </c>
      <c r="B87" s="2" t="str">
        <f t="shared" si="5"/>
        <v>Найденова Дария</v>
      </c>
      <c r="C87" s="19">
        <v>321.0</v>
      </c>
      <c r="D87" s="7" t="s">
        <v>431</v>
      </c>
      <c r="E87" s="2" t="str">
        <f t="array" ref="E87">IF(ISERROR(MATCH(1,INDEX(('Списки блоков'!$B$2:$B986=B87)*(ROW('Списки блоков'!$B$2:$B986)&lt;&gt;ROW('Списки блоков'!$B$3)),0),0)),"","БДНС,")
&amp;IF(ISERROR(MATCH(1,INDEX(('Списки блоков'!$C$2:$C986=B87)*(ROW('Списки блоков'!$C$2:$C986)&lt;&gt;ROW('Списки блоков'!$C$3)),0),0)),"","Видеолаба,")
&amp;IF(ISERROR(MATCH(1,INDEX(('Списки блоков'!$D$2:$D986=B87)*(ROW('Списки блоков'!$D$2:$D986)&lt;&gt;ROW('Списки блоков'!$D$3)),0),0)),"","Декораторы,")
&amp;IF(ISERROR(MATCH(1,INDEX(('Списки блоков'!$E$2:$E986=B87)*(ROW('Списки блоков'!$E$2:$E986)&lt;&gt;ROW('Списки блоков'!$E$3)),0),0)),"","Дизайн,")
&amp;IF(ISERROR(MATCH(1,INDEX(('Списки блоков'!$F$2:$F986=B87)*(ROW('Списки блоков'!$F$2:$F986)&lt;&gt;ROW('Списки блоков'!$F$3)),0),0)),"","Досуг,")
&amp;IF(ISERROR(MATCH(1,INDEX(('Списки блоков'!$G$2:$G986=B87)*(ROW('Списки блоков'!$G$2:$G986)&lt;&gt;ROW('Списки блоков'!$G$3)),0),0)),"","Закупки,")
&amp;IF(ISERROR(MATCH(1,INDEX(('Списки блоков'!$H$2:$H986=B87)*(ROW('Списки блоков'!$H$2:$H986)&lt;&gt;ROW('Списки блоков'!$H$3)),0),0)),"","ИнфоБлок,")
&amp;IF(ISERROR(MATCH(1,INDEX(('Списки блоков'!$I$2:$I986=B87)*(ROW('Списки блоков'!$I$2:$I986)&lt;&gt;ROW('Списки блоков'!$I$3)),0),0)),"","КГ,")
&amp;IF(ISERROR(MATCH(1,INDEX(('Списки блоков'!$J$2:$J986=B87)*(ROW('Списки блоков'!$J$2:$J986)&lt;&gt;ROW('Списки блоков'!$J$3)),0),0)),"","МП,")
&amp;IF(ISERROR(MATCH(1,INDEX(('Списки блоков'!$K$2:$K986=B87)*(ROW('Списки блоков'!$K$2:$K986)&lt;&gt;ROW('Списки блоков'!$K$3)),0),0)),"","Профорги,")
&amp;IF(ISERROR(MATCH(1,INDEX(('Списки блоков'!$L$2:$L986=B87)*(ROW('Списки блоков'!$L$2:$L986)&lt;&gt;ROW('Списки блоков'!$L$3)),0),0)),"","Спонсоры,")
&amp;IF(ISERROR(MATCH(1,INDEX(('Списки блоков'!$M$2:$M986=B87)*(ROW('Списки блоков'!$M$2:$M986)&lt;&gt;ROW('Списки блоков'!$M$3)),0),0)),"","Склад,")
&amp;IF(ISERROR(MATCH(1,INDEX(('Списки блоков'!$N$2:$N986=B87)*(ROW('Списки блоков'!$N$2:$N986)&lt;&gt;ROW('Списки блоков'!$N$3)),0),0)),"","Сценаристы,")
&amp;IF(ISERROR(MATCH(1,INDEX(('Списки блоков'!$O$2:$O986=B87)*(ROW('Списки блоков'!$O$2:$O986)&lt;&gt;ROW('Списки блоков'!$O$3)),0),0)),"","Техники,")
&amp;IF(ISERROR(MATCH(1,INDEX(('Списки блоков'!$P$2:$P986=B87)*(ROW('Списки блоков'!$P$2:$P986)&lt;&gt;ROW('Списки блоков'!$P$3)),0),0)),"","УРС,")
&amp;IF(ISERROR(MATCH(1,INDEX(('Списки блоков'!$Q$2:$Q986=B87)*(ROW('Списки блоков'!$Q$2:$Q986)&lt;&gt;ROW('Списки блоков'!$Q$3)),0),0)),"","Фото,")
&amp;IF(ISERROR(MATCH(1,INDEX((#REF!=B87)*(ROW(#REF!)&lt;&gt;ROW(#REF!)),0),0)),"","ЭкоБлок,")
&amp;IF(ISERROR(MATCH(1,INDEX(('Списки блоков'!$R$2:$R986=B87)*(ROW('Списки блоков'!$R$2:$R986)&lt;&gt;ROW('Списки блоков'!$R$3)),0),0)),"","HR,")
&amp;IF(ISERROR(MATCH(1,INDEX(('Списки блоков'!$S$2:$S986=B87)*(ROW('Списки блоков'!$S$2:$S986)&lt;&gt;ROW('Списки блоков'!$S$3)),0),0)),"","Instagram,")
&amp;IF(ISERROR(MATCH(1,INDEX(('Списки блоков'!$T$2:$T986=B87)*(ROW('Списки блоков'!$T$2:$T986)&lt;&gt;ROW('Списки блоков'!$T$3)),0),0)),"","Zachёt,")
&amp;IF(ISERROR(MATCH(1,INDEX(('Списки блоков'!$U$2:$U986=B87)*(ROW('Списки блоков'!$U$2:$U986)&lt;&gt;ROW('Списки блоков'!$U$3)),0),0)),"","IT,")
&amp;IF(ISERROR(MATCH(1,INDEX(('Списки блоков'!$V$2:$V986=B87)*(ROW('Списки блоков'!$V$2:$V986)&lt;&gt;ROW('Списки блоков'!$V$3)),0),0)),"","ДК,")
</f>
        <v>МП,УРС,Zachёt,</v>
      </c>
      <c r="F87" s="4">
        <v>8.9852739628E10</v>
      </c>
      <c r="G87" s="20" t="s">
        <v>432</v>
      </c>
      <c r="H87" s="7" t="s">
        <v>433</v>
      </c>
      <c r="I87" s="7" t="s">
        <v>434</v>
      </c>
      <c r="J87" s="7" t="s">
        <v>22</v>
      </c>
    </row>
    <row r="88">
      <c r="A88" s="10" t="s">
        <v>435</v>
      </c>
      <c r="B88" s="2" t="str">
        <f t="shared" si="5"/>
        <v>Никитина София-Мария</v>
      </c>
      <c r="C88" s="9">
        <v>117.0</v>
      </c>
      <c r="D88" s="10" t="s">
        <v>436</v>
      </c>
      <c r="E88" s="2" t="str">
        <f t="array" ref="E88">IF(ISERROR(MATCH(1,INDEX(('Списки блоков'!$B$2:$B986=B88)*(ROW('Списки блоков'!$B$2:$B986)&lt;&gt;ROW('Списки блоков'!$B$3)),0),0)),"","БДНС,")
&amp;IF(ISERROR(MATCH(1,INDEX(('Списки блоков'!$C$2:$C986=B88)*(ROW('Списки блоков'!$C$2:$C986)&lt;&gt;ROW('Списки блоков'!$C$3)),0),0)),"","Видеолаба,")
&amp;IF(ISERROR(MATCH(1,INDEX(('Списки блоков'!$D$2:$D986=B88)*(ROW('Списки блоков'!$D$2:$D986)&lt;&gt;ROW('Списки блоков'!$D$3)),0),0)),"","Декораторы,")
&amp;IF(ISERROR(MATCH(1,INDEX(('Списки блоков'!$E$2:$E986=B88)*(ROW('Списки блоков'!$E$2:$E986)&lt;&gt;ROW('Списки блоков'!$E$3)),0),0)),"","Дизайн,")
&amp;IF(ISERROR(MATCH(1,INDEX(('Списки блоков'!$F$2:$F986=B88)*(ROW('Списки блоков'!$F$2:$F986)&lt;&gt;ROW('Списки блоков'!$F$3)),0),0)),"","Досуг,")
&amp;IF(ISERROR(MATCH(1,INDEX(('Списки блоков'!$G$2:$G986=B88)*(ROW('Списки блоков'!$G$2:$G986)&lt;&gt;ROW('Списки блоков'!$G$3)),0),0)),"","Закупки,")
&amp;IF(ISERROR(MATCH(1,INDEX(('Списки блоков'!$H$2:$H986=B88)*(ROW('Списки блоков'!$H$2:$H986)&lt;&gt;ROW('Списки блоков'!$H$3)),0),0)),"","ИнфоБлок,")
&amp;IF(ISERROR(MATCH(1,INDEX(('Списки блоков'!$I$2:$I986=B88)*(ROW('Списки блоков'!$I$2:$I986)&lt;&gt;ROW('Списки блоков'!$I$3)),0),0)),"","КГ,")
&amp;IF(ISERROR(MATCH(1,INDEX(('Списки блоков'!$J$2:$J986=B88)*(ROW('Списки блоков'!$J$2:$J986)&lt;&gt;ROW('Списки блоков'!$J$3)),0),0)),"","МП,")
&amp;IF(ISERROR(MATCH(1,INDEX(('Списки блоков'!$K$2:$K986=B88)*(ROW('Списки блоков'!$K$2:$K986)&lt;&gt;ROW('Списки блоков'!$K$3)),0),0)),"","Профорги,")
&amp;IF(ISERROR(MATCH(1,INDEX(('Списки блоков'!$L$2:$L986=B88)*(ROW('Списки блоков'!$L$2:$L986)&lt;&gt;ROW('Списки блоков'!$L$3)),0),0)),"","Спонсоры,")
&amp;IF(ISERROR(MATCH(1,INDEX(('Списки блоков'!$M$2:$M986=B88)*(ROW('Списки блоков'!$M$2:$M986)&lt;&gt;ROW('Списки блоков'!$M$3)),0),0)),"","Склад,")
&amp;IF(ISERROR(MATCH(1,INDEX(('Списки блоков'!$N$2:$N986=B88)*(ROW('Списки блоков'!$N$2:$N986)&lt;&gt;ROW('Списки блоков'!$N$3)),0),0)),"","Сценаристы,")
&amp;IF(ISERROR(MATCH(1,INDEX(('Списки блоков'!$O$2:$O986=B88)*(ROW('Списки блоков'!$O$2:$O986)&lt;&gt;ROW('Списки блоков'!$O$3)),0),0)),"","Техники,")
&amp;IF(ISERROR(MATCH(1,INDEX(('Списки блоков'!$P$2:$P986=B88)*(ROW('Списки блоков'!$P$2:$P986)&lt;&gt;ROW('Списки блоков'!$P$3)),0),0)),"","УРС,")
&amp;IF(ISERROR(MATCH(1,INDEX(('Списки блоков'!$Q$2:$Q986=B88)*(ROW('Списки блоков'!$Q$2:$Q986)&lt;&gt;ROW('Списки блоков'!$Q$3)),0),0)),"","Фото,")
&amp;IF(ISERROR(MATCH(1,INDEX((#REF!=B88)*(ROW(#REF!)&lt;&gt;ROW(#REF!)),0),0)),"","ЭкоБлок,")
&amp;IF(ISERROR(MATCH(1,INDEX(('Списки блоков'!$R$2:$R986=B88)*(ROW('Списки блоков'!$R$2:$R986)&lt;&gt;ROW('Списки блоков'!$R$3)),0),0)),"","HR,")
&amp;IF(ISERROR(MATCH(1,INDEX(('Списки блоков'!$S$2:$S986=B88)*(ROW('Списки блоков'!$S$2:$S986)&lt;&gt;ROW('Списки блоков'!$S$3)),0),0)),"","Instagram,")
&amp;IF(ISERROR(MATCH(1,INDEX(('Списки блоков'!$T$2:$T986=B88)*(ROW('Списки блоков'!$T$2:$T986)&lt;&gt;ROW('Списки блоков'!$T$3)),0),0)),"","Zachёt,")
&amp;IF(ISERROR(MATCH(1,INDEX(('Списки блоков'!$U$2:$U986=B88)*(ROW('Списки блоков'!$U$2:$U986)&lt;&gt;ROW('Списки блоков'!$U$3)),0),0)),"","IT,")
&amp;IF(ISERROR(MATCH(1,INDEX(('Списки блоков'!$V$2:$V986=B88)*(ROW('Списки блоков'!$V$2:$V986)&lt;&gt;ROW('Списки блоков'!$V$3)),0),0)),"","ДК,")
</f>
        <v>КГ,Сценаристы,</v>
      </c>
      <c r="F88" s="11">
        <v>8.9851759365E10</v>
      </c>
      <c r="G88" s="12" t="s">
        <v>437</v>
      </c>
      <c r="H88" s="10" t="s">
        <v>438</v>
      </c>
      <c r="I88" s="10" t="s">
        <v>439</v>
      </c>
      <c r="J88" s="6" t="s">
        <v>22</v>
      </c>
    </row>
    <row r="89">
      <c r="A89" s="6" t="s">
        <v>440</v>
      </c>
      <c r="B89" s="2" t="str">
        <f t="shared" si="5"/>
        <v>Новикова Юлия</v>
      </c>
      <c r="C89" s="19" t="s">
        <v>441</v>
      </c>
      <c r="D89" s="10" t="s">
        <v>50</v>
      </c>
      <c r="E89" s="2" t="str">
        <f t="array" ref="E89">IF(ISERROR(MATCH(1,INDEX(('Списки блоков'!$B$2:$B986=B89)*(ROW('Списки блоков'!$B$2:$B986)&lt;&gt;ROW('Списки блоков'!$B$3)),0),0)),"","БДНС,")
&amp;IF(ISERROR(MATCH(1,INDEX(('Списки блоков'!$C$2:$C986=B89)*(ROW('Списки блоков'!$C$2:$C986)&lt;&gt;ROW('Списки блоков'!$C$3)),0),0)),"","Видеолаба,")
&amp;IF(ISERROR(MATCH(1,INDEX(('Списки блоков'!$D$2:$D986=B89)*(ROW('Списки блоков'!$D$2:$D986)&lt;&gt;ROW('Списки блоков'!$D$3)),0),0)),"","Декораторы,")
&amp;IF(ISERROR(MATCH(1,INDEX(('Списки блоков'!$E$2:$E986=B89)*(ROW('Списки блоков'!$E$2:$E986)&lt;&gt;ROW('Списки блоков'!$E$3)),0),0)),"","Дизайн,")
&amp;IF(ISERROR(MATCH(1,INDEX(('Списки блоков'!$F$2:$F986=B89)*(ROW('Списки блоков'!$F$2:$F986)&lt;&gt;ROW('Списки блоков'!$F$3)),0),0)),"","Досуг,")
&amp;IF(ISERROR(MATCH(1,INDEX(('Списки блоков'!$G$2:$G986=B89)*(ROW('Списки блоков'!$G$2:$G986)&lt;&gt;ROW('Списки блоков'!$G$3)),0),0)),"","Закупки,")
&amp;IF(ISERROR(MATCH(1,INDEX(('Списки блоков'!$H$2:$H986=B89)*(ROW('Списки блоков'!$H$2:$H986)&lt;&gt;ROW('Списки блоков'!$H$3)),0),0)),"","ИнфоБлок,")
&amp;IF(ISERROR(MATCH(1,INDEX(('Списки блоков'!$I$2:$I986=B89)*(ROW('Списки блоков'!$I$2:$I986)&lt;&gt;ROW('Списки блоков'!$I$3)),0),0)),"","КГ,")
&amp;IF(ISERROR(MATCH(1,INDEX(('Списки блоков'!$J$2:$J986=B89)*(ROW('Списки блоков'!$J$2:$J986)&lt;&gt;ROW('Списки блоков'!$J$3)),0),0)),"","МП,")
&amp;IF(ISERROR(MATCH(1,INDEX(('Списки блоков'!$K$2:$K986=B89)*(ROW('Списки блоков'!$K$2:$K986)&lt;&gt;ROW('Списки блоков'!$K$3)),0),0)),"","Профорги,")
&amp;IF(ISERROR(MATCH(1,INDEX(('Списки блоков'!$L$2:$L986=B89)*(ROW('Списки блоков'!$L$2:$L986)&lt;&gt;ROW('Списки блоков'!$L$3)),0),0)),"","Спонсоры,")
&amp;IF(ISERROR(MATCH(1,INDEX(('Списки блоков'!$M$2:$M986=B89)*(ROW('Списки блоков'!$M$2:$M986)&lt;&gt;ROW('Списки блоков'!$M$3)),0),0)),"","Склад,")
&amp;IF(ISERROR(MATCH(1,INDEX(('Списки блоков'!$N$2:$N986=B89)*(ROW('Списки блоков'!$N$2:$N986)&lt;&gt;ROW('Списки блоков'!$N$3)),0),0)),"","Сценаристы,")
&amp;IF(ISERROR(MATCH(1,INDEX(('Списки блоков'!$O$2:$O986=B89)*(ROW('Списки блоков'!$O$2:$O986)&lt;&gt;ROW('Списки блоков'!$O$3)),0),0)),"","Техники,")
&amp;IF(ISERROR(MATCH(1,INDEX(('Списки блоков'!$P$2:$P986=B89)*(ROW('Списки блоков'!$P$2:$P986)&lt;&gt;ROW('Списки блоков'!$P$3)),0),0)),"","УРС,")
&amp;IF(ISERROR(MATCH(1,INDEX(('Списки блоков'!$Q$2:$Q986=B89)*(ROW('Списки блоков'!$Q$2:$Q986)&lt;&gt;ROW('Списки блоков'!$Q$3)),0),0)),"","Фото,")
&amp;IF(ISERROR(MATCH(1,INDEX((#REF!=B89)*(ROW(#REF!)&lt;&gt;ROW(#REF!)),0),0)),"","ЭкоБлок,")
&amp;IF(ISERROR(MATCH(1,INDEX(('Списки блоков'!$R$2:$R986=B89)*(ROW('Списки блоков'!$R$2:$R986)&lt;&gt;ROW('Списки блоков'!$R$3)),0),0)),"","HR,")
&amp;IF(ISERROR(MATCH(1,INDEX(('Списки блоков'!$S$2:$S986=B89)*(ROW('Списки блоков'!$S$2:$S986)&lt;&gt;ROW('Списки блоков'!$S$3)),0),0)),"","Instagram,")
&amp;IF(ISERROR(MATCH(1,INDEX(('Списки блоков'!$T$2:$T986=B89)*(ROW('Списки блоков'!$T$2:$T986)&lt;&gt;ROW('Списки блоков'!$T$3)),0),0)),"","Zachёt,")
&amp;IF(ISERROR(MATCH(1,INDEX(('Списки блоков'!$U$2:$U986=B89)*(ROW('Списки блоков'!$U$2:$U986)&lt;&gt;ROW('Списки блоков'!$U$3)),0),0)),"","IT,")
&amp;IF(ISERROR(MATCH(1,INDEX(('Списки блоков'!$V$2:$V986=B89)*(ROW('Списки блоков'!$V$2:$V986)&lt;&gt;ROW('Списки блоков'!$V$3)),0),0)),"","ДК,")
</f>
        <v>Видеолаба,Сценаристы,</v>
      </c>
      <c r="F89" s="14">
        <v>8.9162773336E10</v>
      </c>
      <c r="G89" s="10" t="s">
        <v>442</v>
      </c>
      <c r="H89" s="10" t="s">
        <v>443</v>
      </c>
      <c r="I89" s="10" t="s">
        <v>444</v>
      </c>
      <c r="J89" s="6" t="s">
        <v>22</v>
      </c>
    </row>
    <row r="90">
      <c r="A90" s="10" t="s">
        <v>445</v>
      </c>
      <c r="B90" s="2" t="str">
        <f t="shared" si="5"/>
        <v>Новоселов Степан</v>
      </c>
      <c r="C90" s="21">
        <v>110.0</v>
      </c>
      <c r="D90" s="22" t="s">
        <v>446</v>
      </c>
      <c r="E90" s="2" t="str">
        <f t="array" ref="E90">IF(ISERROR(MATCH(1,INDEX(('Списки блоков'!$B$2:$B986=B90)*(ROW('Списки блоков'!$B$2:$B986)&lt;&gt;ROW('Списки блоков'!$B$3)),0),0)),"","БДНС,")
&amp;IF(ISERROR(MATCH(1,INDEX(('Списки блоков'!$C$2:$C986=B90)*(ROW('Списки блоков'!$C$2:$C986)&lt;&gt;ROW('Списки блоков'!$C$3)),0),0)),"","Видеолаба,")
&amp;IF(ISERROR(MATCH(1,INDEX(('Списки блоков'!$D$2:$D986=B90)*(ROW('Списки блоков'!$D$2:$D986)&lt;&gt;ROW('Списки блоков'!$D$3)),0),0)),"","Декораторы,")
&amp;IF(ISERROR(MATCH(1,INDEX(('Списки блоков'!$E$2:$E986=B90)*(ROW('Списки блоков'!$E$2:$E986)&lt;&gt;ROW('Списки блоков'!$E$3)),0),0)),"","Дизайн,")
&amp;IF(ISERROR(MATCH(1,INDEX(('Списки блоков'!$F$2:$F986=B90)*(ROW('Списки блоков'!$F$2:$F986)&lt;&gt;ROW('Списки блоков'!$F$3)),0),0)),"","Досуг,")
&amp;IF(ISERROR(MATCH(1,INDEX(('Списки блоков'!$G$2:$G986=B90)*(ROW('Списки блоков'!$G$2:$G986)&lt;&gt;ROW('Списки блоков'!$G$3)),0),0)),"","Закупки,")
&amp;IF(ISERROR(MATCH(1,INDEX(('Списки блоков'!$H$2:$H986=B90)*(ROW('Списки блоков'!$H$2:$H986)&lt;&gt;ROW('Списки блоков'!$H$3)),0),0)),"","ИнфоБлок,")
&amp;IF(ISERROR(MATCH(1,INDEX(('Списки блоков'!$I$2:$I986=B90)*(ROW('Списки блоков'!$I$2:$I986)&lt;&gt;ROW('Списки блоков'!$I$3)),0),0)),"","КГ,")
&amp;IF(ISERROR(MATCH(1,INDEX(('Списки блоков'!$J$2:$J986=B90)*(ROW('Списки блоков'!$J$2:$J986)&lt;&gt;ROW('Списки блоков'!$J$3)),0),0)),"","МП,")
&amp;IF(ISERROR(MATCH(1,INDEX(('Списки блоков'!$K$2:$K986=B90)*(ROW('Списки блоков'!$K$2:$K986)&lt;&gt;ROW('Списки блоков'!$K$3)),0),0)),"","Профорги,")
&amp;IF(ISERROR(MATCH(1,INDEX(('Списки блоков'!$L$2:$L986=B90)*(ROW('Списки блоков'!$L$2:$L986)&lt;&gt;ROW('Списки блоков'!$L$3)),0),0)),"","Спонсоры,")
&amp;IF(ISERROR(MATCH(1,INDEX(('Списки блоков'!$M$2:$M986=B90)*(ROW('Списки блоков'!$M$2:$M986)&lt;&gt;ROW('Списки блоков'!$M$3)),0),0)),"","Склад,")
&amp;IF(ISERROR(MATCH(1,INDEX(('Списки блоков'!$N$2:$N986=B90)*(ROW('Списки блоков'!$N$2:$N986)&lt;&gt;ROW('Списки блоков'!$N$3)),0),0)),"","Сценаристы,")
&amp;IF(ISERROR(MATCH(1,INDEX(('Списки блоков'!$O$2:$O986=B90)*(ROW('Списки блоков'!$O$2:$O986)&lt;&gt;ROW('Списки блоков'!$O$3)),0),0)),"","Техники,")
&amp;IF(ISERROR(MATCH(1,INDEX(('Списки блоков'!$P$2:$P986=B90)*(ROW('Списки блоков'!$P$2:$P986)&lt;&gt;ROW('Списки блоков'!$P$3)),0),0)),"","УРС,")
&amp;IF(ISERROR(MATCH(1,INDEX(('Списки блоков'!$Q$2:$Q986=B90)*(ROW('Списки блоков'!$Q$2:$Q986)&lt;&gt;ROW('Списки блоков'!$Q$3)),0),0)),"","Фото,")
&amp;IF(ISERROR(MATCH(1,INDEX((#REF!=B90)*(ROW(#REF!)&lt;&gt;ROW(#REF!)),0),0)),"","ЭкоБлок,")
&amp;IF(ISERROR(MATCH(1,INDEX(('Списки блоков'!$R$2:$R986=B90)*(ROW('Списки блоков'!$R$2:$R986)&lt;&gt;ROW('Списки блоков'!$R$3)),0),0)),"","HR,")
&amp;IF(ISERROR(MATCH(1,INDEX(('Списки блоков'!$S$2:$S986=B90)*(ROW('Списки блоков'!$S$2:$S986)&lt;&gt;ROW('Списки блоков'!$S$3)),0),0)),"","Instagram,")
&amp;IF(ISERROR(MATCH(1,INDEX(('Списки блоков'!$T$2:$T986=B90)*(ROW('Списки блоков'!$T$2:$T986)&lt;&gt;ROW('Списки блоков'!$T$3)),0),0)),"","Zachёt,")
&amp;IF(ISERROR(MATCH(1,INDEX(('Списки блоков'!$U$2:$U986=B90)*(ROW('Списки блоков'!$U$2:$U986)&lt;&gt;ROW('Списки блоков'!$U$3)),0),0)),"","IT,")
&amp;IF(ISERROR(MATCH(1,INDEX(('Списки блоков'!$V$2:$V986=B90)*(ROW('Списки блоков'!$V$2:$V986)&lt;&gt;ROW('Списки блоков'!$V$3)),0),0)),"","ДК,")
</f>
        <v>IT,</v>
      </c>
      <c r="F90" s="21">
        <v>7.926969222E10</v>
      </c>
      <c r="G90" s="23" t="s">
        <v>447</v>
      </c>
      <c r="H90" s="23" t="s">
        <v>448</v>
      </c>
      <c r="I90" s="22" t="s">
        <v>449</v>
      </c>
      <c r="J90" s="24" t="s">
        <v>22</v>
      </c>
    </row>
    <row r="91">
      <c r="A91" s="10" t="s">
        <v>450</v>
      </c>
      <c r="B91" s="2" t="str">
        <f t="shared" si="5"/>
        <v>Обрядчикова Анастасия</v>
      </c>
      <c r="C91" s="25">
        <v>520.0</v>
      </c>
      <c r="D91" s="26" t="s">
        <v>308</v>
      </c>
      <c r="E91" s="2" t="str">
        <f t="array" ref="E91">IF(ISERROR(MATCH(1,INDEX(('Списки блоков'!$B$2:$B986=B91)*(ROW('Списки блоков'!$B$2:$B986)&lt;&gt;ROW('Списки блоков'!$B$3)),0),0)),"","БДНС,")
&amp;IF(ISERROR(MATCH(1,INDEX(('Списки блоков'!$C$2:$C986=B91)*(ROW('Списки блоков'!$C$2:$C986)&lt;&gt;ROW('Списки блоков'!$C$3)),0),0)),"","Видеолаба,")
&amp;IF(ISERROR(MATCH(1,INDEX(('Списки блоков'!$D$2:$D986=B91)*(ROW('Списки блоков'!$D$2:$D986)&lt;&gt;ROW('Списки блоков'!$D$3)),0),0)),"","Декораторы,")
&amp;IF(ISERROR(MATCH(1,INDEX(('Списки блоков'!$E$2:$E986=B91)*(ROW('Списки блоков'!$E$2:$E986)&lt;&gt;ROW('Списки блоков'!$E$3)),0),0)),"","Дизайн,")
&amp;IF(ISERROR(MATCH(1,INDEX(('Списки блоков'!$F$2:$F986=B91)*(ROW('Списки блоков'!$F$2:$F986)&lt;&gt;ROW('Списки блоков'!$F$3)),0),0)),"","Досуг,")
&amp;IF(ISERROR(MATCH(1,INDEX(('Списки блоков'!$G$2:$G986=B91)*(ROW('Списки блоков'!$G$2:$G986)&lt;&gt;ROW('Списки блоков'!$G$3)),0),0)),"","Закупки,")
&amp;IF(ISERROR(MATCH(1,INDEX(('Списки блоков'!$H$2:$H986=B91)*(ROW('Списки блоков'!$H$2:$H986)&lt;&gt;ROW('Списки блоков'!$H$3)),0),0)),"","ИнфоБлок,")
&amp;IF(ISERROR(MATCH(1,INDEX(('Списки блоков'!$I$2:$I986=B91)*(ROW('Списки блоков'!$I$2:$I986)&lt;&gt;ROW('Списки блоков'!$I$3)),0),0)),"","КГ,")
&amp;IF(ISERROR(MATCH(1,INDEX(('Списки блоков'!$J$2:$J986=B91)*(ROW('Списки блоков'!$J$2:$J986)&lt;&gt;ROW('Списки блоков'!$J$3)),0),0)),"","МП,")
&amp;IF(ISERROR(MATCH(1,INDEX(('Списки блоков'!$K$2:$K986=B91)*(ROW('Списки блоков'!$K$2:$K986)&lt;&gt;ROW('Списки блоков'!$K$3)),0),0)),"","Профорги,")
&amp;IF(ISERROR(MATCH(1,INDEX(('Списки блоков'!$L$2:$L986=B91)*(ROW('Списки блоков'!$L$2:$L986)&lt;&gt;ROW('Списки блоков'!$L$3)),0),0)),"","Спонсоры,")
&amp;IF(ISERROR(MATCH(1,INDEX(('Списки блоков'!$M$2:$M986=B91)*(ROW('Списки блоков'!$M$2:$M986)&lt;&gt;ROW('Списки блоков'!$M$3)),0),0)),"","Склад,")
&amp;IF(ISERROR(MATCH(1,INDEX(('Списки блоков'!$N$2:$N986=B91)*(ROW('Списки блоков'!$N$2:$N986)&lt;&gt;ROW('Списки блоков'!$N$3)),0),0)),"","Сценаристы,")
&amp;IF(ISERROR(MATCH(1,INDEX(('Списки блоков'!$O$2:$O986=B91)*(ROW('Списки блоков'!$O$2:$O986)&lt;&gt;ROW('Списки блоков'!$O$3)),0),0)),"","Техники,")
&amp;IF(ISERROR(MATCH(1,INDEX(('Списки блоков'!$P$2:$P986=B91)*(ROW('Списки блоков'!$P$2:$P986)&lt;&gt;ROW('Списки блоков'!$P$3)),0),0)),"","УРС,")
&amp;IF(ISERROR(MATCH(1,INDEX(('Списки блоков'!$Q$2:$Q986=B91)*(ROW('Списки блоков'!$Q$2:$Q986)&lt;&gt;ROW('Списки блоков'!$Q$3)),0),0)),"","Фото,")
&amp;IF(ISERROR(MATCH(1,INDEX((#REF!=B91)*(ROW(#REF!)&lt;&gt;ROW(#REF!)),0),0)),"","ЭкоБлок,")
&amp;IF(ISERROR(MATCH(1,INDEX(('Списки блоков'!$R$2:$R986=B91)*(ROW('Списки блоков'!$R$2:$R986)&lt;&gt;ROW('Списки блоков'!$R$3)),0),0)),"","HR,")
&amp;IF(ISERROR(MATCH(1,INDEX(('Списки блоков'!$S$2:$S986=B91)*(ROW('Списки блоков'!$S$2:$S986)&lt;&gt;ROW('Списки блоков'!$S$3)),0),0)),"","Instagram,")
&amp;IF(ISERROR(MATCH(1,INDEX(('Списки блоков'!$T$2:$T986=B91)*(ROW('Списки блоков'!$T$2:$T986)&lt;&gt;ROW('Списки блоков'!$T$3)),0),0)),"","Zachёt,")
&amp;IF(ISERROR(MATCH(1,INDEX(('Списки блоков'!$U$2:$U986=B91)*(ROW('Списки блоков'!$U$2:$U986)&lt;&gt;ROW('Списки блоков'!$U$3)),0),0)),"","IT,")
&amp;IF(ISERROR(MATCH(1,INDEX(('Списки блоков'!$V$2:$V986=B91)*(ROW('Списки блоков'!$V$2:$V986)&lt;&gt;ROW('Списки блоков'!$V$3)),0),0)),"","ДК,")
</f>
        <v>ИнфоБлок,Сценаристы,</v>
      </c>
      <c r="F91" s="27">
        <v>8.953563238E10</v>
      </c>
      <c r="G91" s="28" t="s">
        <v>451</v>
      </c>
      <c r="H91" s="26" t="s">
        <v>452</v>
      </c>
      <c r="I91" s="26" t="s">
        <v>453</v>
      </c>
      <c r="J91" s="29" t="s">
        <v>22</v>
      </c>
    </row>
    <row r="92">
      <c r="A92" s="30" t="s">
        <v>454</v>
      </c>
      <c r="B92" s="2" t="str">
        <f t="shared" si="5"/>
        <v>Овсянникова Софья</v>
      </c>
      <c r="C92" s="31">
        <v>414.0</v>
      </c>
      <c r="D92" s="30" t="s">
        <v>455</v>
      </c>
      <c r="E92" s="2" t="str">
        <f t="array" ref="E92">IF(ISERROR(MATCH(1,INDEX(('Списки блоков'!$B$2:$B986=B92)*(ROW('Списки блоков'!$B$2:$B986)&lt;&gt;ROW('Списки блоков'!$B$3)),0),0)),"","БДНС,")
&amp;IF(ISERROR(MATCH(1,INDEX(('Списки блоков'!$C$2:$C986=B92)*(ROW('Списки блоков'!$C$2:$C986)&lt;&gt;ROW('Списки блоков'!$C$3)),0),0)),"","Видеолаба,")
&amp;IF(ISERROR(MATCH(1,INDEX(('Списки блоков'!$D$2:$D986=B92)*(ROW('Списки блоков'!$D$2:$D986)&lt;&gt;ROW('Списки блоков'!$D$3)),0),0)),"","Декораторы,")
&amp;IF(ISERROR(MATCH(1,INDEX(('Списки блоков'!$E$2:$E986=B92)*(ROW('Списки блоков'!$E$2:$E986)&lt;&gt;ROW('Списки блоков'!$E$3)),0),0)),"","Дизайн,")
&amp;IF(ISERROR(MATCH(1,INDEX(('Списки блоков'!$F$2:$F986=B92)*(ROW('Списки блоков'!$F$2:$F986)&lt;&gt;ROW('Списки блоков'!$F$3)),0),0)),"","Досуг,")
&amp;IF(ISERROR(MATCH(1,INDEX(('Списки блоков'!$G$2:$G986=B92)*(ROW('Списки блоков'!$G$2:$G986)&lt;&gt;ROW('Списки блоков'!$G$3)),0),0)),"","Закупки,")
&amp;IF(ISERROR(MATCH(1,INDEX(('Списки блоков'!$H$2:$H986=B92)*(ROW('Списки блоков'!$H$2:$H986)&lt;&gt;ROW('Списки блоков'!$H$3)),0),0)),"","ИнфоБлок,")
&amp;IF(ISERROR(MATCH(1,INDEX(('Списки блоков'!$I$2:$I986=B92)*(ROW('Списки блоков'!$I$2:$I986)&lt;&gt;ROW('Списки блоков'!$I$3)),0),0)),"","КГ,")
&amp;IF(ISERROR(MATCH(1,INDEX(('Списки блоков'!$J$2:$J986=B92)*(ROW('Списки блоков'!$J$2:$J986)&lt;&gt;ROW('Списки блоков'!$J$3)),0),0)),"","МП,")
&amp;IF(ISERROR(MATCH(1,INDEX(('Списки блоков'!$K$2:$K986=B92)*(ROW('Списки блоков'!$K$2:$K986)&lt;&gt;ROW('Списки блоков'!$K$3)),0),0)),"","Профорги,")
&amp;IF(ISERROR(MATCH(1,INDEX(('Списки блоков'!$L$2:$L986=B92)*(ROW('Списки блоков'!$L$2:$L986)&lt;&gt;ROW('Списки блоков'!$L$3)),0),0)),"","Спонсоры,")
&amp;IF(ISERROR(MATCH(1,INDEX(('Списки блоков'!$M$2:$M986=B92)*(ROW('Списки блоков'!$M$2:$M986)&lt;&gt;ROW('Списки блоков'!$M$3)),0),0)),"","Склад,")
&amp;IF(ISERROR(MATCH(1,INDEX(('Списки блоков'!$N$2:$N986=B92)*(ROW('Списки блоков'!$N$2:$N986)&lt;&gt;ROW('Списки блоков'!$N$3)),0),0)),"","Сценаристы,")
&amp;IF(ISERROR(MATCH(1,INDEX(('Списки блоков'!$O$2:$O986=B92)*(ROW('Списки блоков'!$O$2:$O986)&lt;&gt;ROW('Списки блоков'!$O$3)),0),0)),"","Техники,")
&amp;IF(ISERROR(MATCH(1,INDEX(('Списки блоков'!$P$2:$P986=B92)*(ROW('Списки блоков'!$P$2:$P986)&lt;&gt;ROW('Списки блоков'!$P$3)),0),0)),"","УРС,")
&amp;IF(ISERROR(MATCH(1,INDEX(('Списки блоков'!$Q$2:$Q986=B92)*(ROW('Списки блоков'!$Q$2:$Q986)&lt;&gt;ROW('Списки блоков'!$Q$3)),0),0)),"","Фото,")
&amp;IF(ISERROR(MATCH(1,INDEX((#REF!=B92)*(ROW(#REF!)&lt;&gt;ROW(#REF!)),0),0)),"","ЭкоБлок,")
&amp;IF(ISERROR(MATCH(1,INDEX(('Списки блоков'!$R$2:$R986=B92)*(ROW('Списки блоков'!$R$2:$R986)&lt;&gt;ROW('Списки блоков'!$R$3)),0),0)),"","HR,")
&amp;IF(ISERROR(MATCH(1,INDEX(('Списки блоков'!$S$2:$S986=B92)*(ROW('Списки блоков'!$S$2:$S986)&lt;&gt;ROW('Списки блоков'!$S$3)),0),0)),"","Instagram,")
&amp;IF(ISERROR(MATCH(1,INDEX(('Списки блоков'!$T$2:$T986=B92)*(ROW('Списки блоков'!$T$2:$T986)&lt;&gt;ROW('Списки блоков'!$T$3)),0),0)),"","Zachёt,")
&amp;IF(ISERROR(MATCH(1,INDEX(('Списки блоков'!$U$2:$U986=B92)*(ROW('Списки блоков'!$U$2:$U986)&lt;&gt;ROW('Списки блоков'!$U$3)),0),0)),"","IT,")
&amp;IF(ISERROR(MATCH(1,INDEX(('Списки блоков'!$V$2:$V986=B92)*(ROW('Списки блоков'!$V$2:$V986)&lt;&gt;ROW('Списки блоков'!$V$3)),0),0)),"","ДК,")
</f>
        <v>Дизайн,Спонсоры,</v>
      </c>
      <c r="F92" s="32">
        <v>8.9685300818E10</v>
      </c>
      <c r="G92" s="33" t="s">
        <v>456</v>
      </c>
      <c r="H92" s="33" t="s">
        <v>457</v>
      </c>
      <c r="I92" s="30" t="s">
        <v>458</v>
      </c>
      <c r="J92" s="34" t="s">
        <v>22</v>
      </c>
    </row>
    <row r="93">
      <c r="A93" s="35" t="s">
        <v>459</v>
      </c>
      <c r="B93" s="2" t="str">
        <f t="shared" si="5"/>
        <v>Огай Владислав</v>
      </c>
      <c r="C93" s="36">
        <v>324.0</v>
      </c>
      <c r="D93" s="35" t="s">
        <v>50</v>
      </c>
      <c r="E93" s="2" t="str">
        <f t="array" ref="E93">IF(ISERROR(MATCH(1,INDEX(('Списки блоков'!$B$2:$B986=B93)*(ROW('Списки блоков'!$B$2:$B986)&lt;&gt;ROW('Списки блоков'!$B$3)),0),0)),"","БДНС,")
&amp;IF(ISERROR(MATCH(1,INDEX(('Списки блоков'!$C$2:$C986=B93)*(ROW('Списки блоков'!$C$2:$C986)&lt;&gt;ROW('Списки блоков'!$C$3)),0),0)),"","Видеолаба,")
&amp;IF(ISERROR(MATCH(1,INDEX(('Списки блоков'!$D$2:$D986=B93)*(ROW('Списки блоков'!$D$2:$D986)&lt;&gt;ROW('Списки блоков'!$D$3)),0),0)),"","Декораторы,")
&amp;IF(ISERROR(MATCH(1,INDEX(('Списки блоков'!$E$2:$E986=B93)*(ROW('Списки блоков'!$E$2:$E986)&lt;&gt;ROW('Списки блоков'!$E$3)),0),0)),"","Дизайн,")
&amp;IF(ISERROR(MATCH(1,INDEX(('Списки блоков'!$F$2:$F986=B93)*(ROW('Списки блоков'!$F$2:$F986)&lt;&gt;ROW('Списки блоков'!$F$3)),0),0)),"","Досуг,")
&amp;IF(ISERROR(MATCH(1,INDEX(('Списки блоков'!$G$2:$G986=B93)*(ROW('Списки блоков'!$G$2:$G986)&lt;&gt;ROW('Списки блоков'!$G$3)),0),0)),"","Закупки,")
&amp;IF(ISERROR(MATCH(1,INDEX(('Списки блоков'!$H$2:$H986=B93)*(ROW('Списки блоков'!$H$2:$H986)&lt;&gt;ROW('Списки блоков'!$H$3)),0),0)),"","ИнфоБлок,")
&amp;IF(ISERROR(MATCH(1,INDEX(('Списки блоков'!$I$2:$I986=B93)*(ROW('Списки блоков'!$I$2:$I986)&lt;&gt;ROW('Списки блоков'!$I$3)),0),0)),"","КГ,")
&amp;IF(ISERROR(MATCH(1,INDEX(('Списки блоков'!$J$2:$J986=B93)*(ROW('Списки блоков'!$J$2:$J986)&lt;&gt;ROW('Списки блоков'!$J$3)),0),0)),"","МП,")
&amp;IF(ISERROR(MATCH(1,INDEX(('Списки блоков'!$K$2:$K986=B93)*(ROW('Списки блоков'!$K$2:$K986)&lt;&gt;ROW('Списки блоков'!$K$3)),0),0)),"","Профорги,")
&amp;IF(ISERROR(MATCH(1,INDEX(('Списки блоков'!$L$2:$L986=B93)*(ROW('Списки блоков'!$L$2:$L986)&lt;&gt;ROW('Списки блоков'!$L$3)),0),0)),"","Спонсоры,")
&amp;IF(ISERROR(MATCH(1,INDEX(('Списки блоков'!$M$2:$M986=B93)*(ROW('Списки блоков'!$M$2:$M986)&lt;&gt;ROW('Списки блоков'!$M$3)),0),0)),"","Склад,")
&amp;IF(ISERROR(MATCH(1,INDEX(('Списки блоков'!$N$2:$N986=B93)*(ROW('Списки блоков'!$N$2:$N986)&lt;&gt;ROW('Списки блоков'!$N$3)),0),0)),"","Сценаристы,")
&amp;IF(ISERROR(MATCH(1,INDEX(('Списки блоков'!$O$2:$O986=B93)*(ROW('Списки блоков'!$O$2:$O986)&lt;&gt;ROW('Списки блоков'!$O$3)),0),0)),"","Техники,")
&amp;IF(ISERROR(MATCH(1,INDEX(('Списки блоков'!$P$2:$P986=B93)*(ROW('Списки блоков'!$P$2:$P986)&lt;&gt;ROW('Списки блоков'!$P$3)),0),0)),"","УРС,")
&amp;IF(ISERROR(MATCH(1,INDEX(('Списки блоков'!$Q$2:$Q986=B93)*(ROW('Списки блоков'!$Q$2:$Q986)&lt;&gt;ROW('Списки блоков'!$Q$3)),0),0)),"","Фото,")
&amp;IF(ISERROR(MATCH(1,INDEX((#REF!=B93)*(ROW(#REF!)&lt;&gt;ROW(#REF!)),0),0)),"","ЭкоБлок,")
&amp;IF(ISERROR(MATCH(1,INDEX(('Списки блоков'!$R$2:$R986=B93)*(ROW('Списки блоков'!$R$2:$R986)&lt;&gt;ROW('Списки блоков'!$R$3)),0),0)),"","HR,")
&amp;IF(ISERROR(MATCH(1,INDEX(('Списки блоков'!$S$2:$S986=B93)*(ROW('Списки блоков'!$S$2:$S986)&lt;&gt;ROW('Списки блоков'!$S$3)),0),0)),"","Instagram,")
&amp;IF(ISERROR(MATCH(1,INDEX(('Списки блоков'!$T$2:$T986=B93)*(ROW('Списки блоков'!$T$2:$T986)&lt;&gt;ROW('Списки блоков'!$T$3)),0),0)),"","Zachёt,")
&amp;IF(ISERROR(MATCH(1,INDEX(('Списки блоков'!$U$2:$U986=B93)*(ROW('Списки блоков'!$U$2:$U986)&lt;&gt;ROW('Списки блоков'!$U$3)),0),0)),"","IT,")
&amp;IF(ISERROR(MATCH(1,INDEX(('Списки блоков'!$V$2:$V986=B93)*(ROW('Списки блоков'!$V$2:$V986)&lt;&gt;ROW('Списки блоков'!$V$3)),0),0)),"","ДК,")
</f>
        <v>Декораторы,КГ,Техники,Фото,ДК,</v>
      </c>
      <c r="F93" s="37">
        <v>8.9615019328E10</v>
      </c>
      <c r="G93" s="38" t="s">
        <v>460</v>
      </c>
      <c r="H93" s="35" t="s">
        <v>461</v>
      </c>
      <c r="I93" s="35" t="s">
        <v>462</v>
      </c>
      <c r="J93" s="39" t="s">
        <v>22</v>
      </c>
    </row>
    <row r="94">
      <c r="A94" s="2" t="s">
        <v>463</v>
      </c>
      <c r="B94" s="2" t="str">
        <f t="shared" si="5"/>
        <v>Орен Сюлейман</v>
      </c>
      <c r="C94" s="3">
        <v>119.0</v>
      </c>
      <c r="D94" s="7" t="s">
        <v>464</v>
      </c>
      <c r="E94" s="2" t="str">
        <f t="array" ref="E94">IF(ISERROR(MATCH(1,INDEX(('Списки блоков'!$B$2:$B986=B94)*(ROW('Списки блоков'!$B$2:$B986)&lt;&gt;ROW('Списки блоков'!$B$3)),0),0)),"","БДНС,")
&amp;IF(ISERROR(MATCH(1,INDEX(('Списки блоков'!$C$2:$C986=B94)*(ROW('Списки блоков'!$C$2:$C986)&lt;&gt;ROW('Списки блоков'!$C$3)),0),0)),"","Видеолаба,")
&amp;IF(ISERROR(MATCH(1,INDEX(('Списки блоков'!$D$2:$D986=B94)*(ROW('Списки блоков'!$D$2:$D986)&lt;&gt;ROW('Списки блоков'!$D$3)),0),0)),"","Декораторы,")
&amp;IF(ISERROR(MATCH(1,INDEX(('Списки блоков'!$E$2:$E986=B94)*(ROW('Списки блоков'!$E$2:$E986)&lt;&gt;ROW('Списки блоков'!$E$3)),0),0)),"","Дизайн,")
&amp;IF(ISERROR(MATCH(1,INDEX(('Списки блоков'!$F$2:$F986=B94)*(ROW('Списки блоков'!$F$2:$F986)&lt;&gt;ROW('Списки блоков'!$F$3)),0),0)),"","Досуг,")
&amp;IF(ISERROR(MATCH(1,INDEX(('Списки блоков'!$G$2:$G986=B94)*(ROW('Списки блоков'!$G$2:$G986)&lt;&gt;ROW('Списки блоков'!$G$3)),0),0)),"","Закупки,")
&amp;IF(ISERROR(MATCH(1,INDEX(('Списки блоков'!$H$2:$H986=B94)*(ROW('Списки блоков'!$H$2:$H986)&lt;&gt;ROW('Списки блоков'!$H$3)),0),0)),"","ИнфоБлок,")
&amp;IF(ISERROR(MATCH(1,INDEX(('Списки блоков'!$I$2:$I986=B94)*(ROW('Списки блоков'!$I$2:$I986)&lt;&gt;ROW('Списки блоков'!$I$3)),0),0)),"","КГ,")
&amp;IF(ISERROR(MATCH(1,INDEX(('Списки блоков'!$J$2:$J986=B94)*(ROW('Списки блоков'!$J$2:$J986)&lt;&gt;ROW('Списки блоков'!$J$3)),0),0)),"","МП,")
&amp;IF(ISERROR(MATCH(1,INDEX(('Списки блоков'!$K$2:$K986=B94)*(ROW('Списки блоков'!$K$2:$K986)&lt;&gt;ROW('Списки блоков'!$K$3)),0),0)),"","Профорги,")
&amp;IF(ISERROR(MATCH(1,INDEX(('Списки блоков'!$L$2:$L986=B94)*(ROW('Списки блоков'!$L$2:$L986)&lt;&gt;ROW('Списки блоков'!$L$3)),0),0)),"","Спонсоры,")
&amp;IF(ISERROR(MATCH(1,INDEX(('Списки блоков'!$M$2:$M986=B94)*(ROW('Списки блоков'!$M$2:$M986)&lt;&gt;ROW('Списки блоков'!$M$3)),0),0)),"","Склад,")
&amp;IF(ISERROR(MATCH(1,INDEX(('Списки блоков'!$N$2:$N986=B94)*(ROW('Списки блоков'!$N$2:$N986)&lt;&gt;ROW('Списки блоков'!$N$3)),0),0)),"","Сценаристы,")
&amp;IF(ISERROR(MATCH(1,INDEX(('Списки блоков'!$O$2:$O986=B94)*(ROW('Списки блоков'!$O$2:$O986)&lt;&gt;ROW('Списки блоков'!$O$3)),0),0)),"","Техники,")
&amp;IF(ISERROR(MATCH(1,INDEX(('Списки блоков'!$P$2:$P986=B94)*(ROW('Списки блоков'!$P$2:$P986)&lt;&gt;ROW('Списки блоков'!$P$3)),0),0)),"","УРС,")
&amp;IF(ISERROR(MATCH(1,INDEX(('Списки блоков'!$Q$2:$Q986=B94)*(ROW('Списки блоков'!$Q$2:$Q986)&lt;&gt;ROW('Списки блоков'!$Q$3)),0),0)),"","Фото,")
&amp;IF(ISERROR(MATCH(1,INDEX((#REF!=B94)*(ROW(#REF!)&lt;&gt;ROW(#REF!)),0),0)),"","ЭкоБлок,")
&amp;IF(ISERROR(MATCH(1,INDEX(('Списки блоков'!$R$2:$R986=B94)*(ROW('Списки блоков'!$R$2:$R986)&lt;&gt;ROW('Списки блоков'!$R$3)),0),0)),"","HR,")
&amp;IF(ISERROR(MATCH(1,INDEX(('Списки блоков'!$S$2:$S986=B94)*(ROW('Списки блоков'!$S$2:$S986)&lt;&gt;ROW('Списки блоков'!$S$3)),0),0)),"","Instagram,")
&amp;IF(ISERROR(MATCH(1,INDEX(('Списки блоков'!$T$2:$T986=B94)*(ROW('Списки блоков'!$T$2:$T986)&lt;&gt;ROW('Списки блоков'!$T$3)),0),0)),"","Zachёt,")
&amp;IF(ISERROR(MATCH(1,INDEX(('Списки блоков'!$U$2:$U986=B94)*(ROW('Списки блоков'!$U$2:$U986)&lt;&gt;ROW('Списки блоков'!$U$3)),0),0)),"","IT,")
&amp;IF(ISERROR(MATCH(1,INDEX(('Списки блоков'!$V$2:$V986=B94)*(ROW('Списки блоков'!$V$2:$V986)&lt;&gt;ROW('Списки блоков'!$V$3)),0),0)),"","ДК,")
</f>
        <v>Видеолаба,Дизайн,Техники,</v>
      </c>
      <c r="F94" s="4">
        <v>8.9200518152E10</v>
      </c>
      <c r="G94" s="5" t="s">
        <v>465</v>
      </c>
      <c r="H94" s="5" t="s">
        <v>466</v>
      </c>
      <c r="I94" s="2" t="s">
        <v>467</v>
      </c>
      <c r="J94" s="7" t="s">
        <v>22</v>
      </c>
    </row>
    <row r="95">
      <c r="A95" s="22" t="s">
        <v>468</v>
      </c>
      <c r="B95" s="2" t="str">
        <f t="shared" si="5"/>
        <v>Островский Алексей</v>
      </c>
      <c r="C95" s="9">
        <v>520.0</v>
      </c>
      <c r="D95" s="10" t="s">
        <v>469</v>
      </c>
      <c r="E95" s="2" t="str">
        <f t="array" ref="E95">IF(ISERROR(MATCH(1,INDEX(('Списки блоков'!$B$2:$B986=B95)*(ROW('Списки блоков'!$B$2:$B986)&lt;&gt;ROW('Списки блоков'!$B$3)),0),0)),"","БДНС,")
&amp;IF(ISERROR(MATCH(1,INDEX(('Списки блоков'!$C$2:$C986=B95)*(ROW('Списки блоков'!$C$2:$C986)&lt;&gt;ROW('Списки блоков'!$C$3)),0),0)),"","Видеолаба,")
&amp;IF(ISERROR(MATCH(1,INDEX(('Списки блоков'!$D$2:$D986=B95)*(ROW('Списки блоков'!$D$2:$D986)&lt;&gt;ROW('Списки блоков'!$D$3)),0),0)),"","Декораторы,")
&amp;IF(ISERROR(MATCH(1,INDEX(('Списки блоков'!$E$2:$E986=B95)*(ROW('Списки блоков'!$E$2:$E986)&lt;&gt;ROW('Списки блоков'!$E$3)),0),0)),"","Дизайн,")
&amp;IF(ISERROR(MATCH(1,INDEX(('Списки блоков'!$F$2:$F986=B95)*(ROW('Списки блоков'!$F$2:$F986)&lt;&gt;ROW('Списки блоков'!$F$3)),0),0)),"","Досуг,")
&amp;IF(ISERROR(MATCH(1,INDEX(('Списки блоков'!$G$2:$G986=B95)*(ROW('Списки блоков'!$G$2:$G986)&lt;&gt;ROW('Списки блоков'!$G$3)),0),0)),"","Закупки,")
&amp;IF(ISERROR(MATCH(1,INDEX(('Списки блоков'!$H$2:$H986=B95)*(ROW('Списки блоков'!$H$2:$H986)&lt;&gt;ROW('Списки блоков'!$H$3)),0),0)),"","ИнфоБлок,")
&amp;IF(ISERROR(MATCH(1,INDEX(('Списки блоков'!$I$2:$I986=B95)*(ROW('Списки блоков'!$I$2:$I986)&lt;&gt;ROW('Списки блоков'!$I$3)),0),0)),"","КГ,")
&amp;IF(ISERROR(MATCH(1,INDEX(('Списки блоков'!$J$2:$J986=B95)*(ROW('Списки блоков'!$J$2:$J986)&lt;&gt;ROW('Списки блоков'!$J$3)),0),0)),"","МП,")
&amp;IF(ISERROR(MATCH(1,INDEX(('Списки блоков'!$K$2:$K986=B95)*(ROW('Списки блоков'!$K$2:$K986)&lt;&gt;ROW('Списки блоков'!$K$3)),0),0)),"","Профорги,")
&amp;IF(ISERROR(MATCH(1,INDEX(('Списки блоков'!$L$2:$L986=B95)*(ROW('Списки блоков'!$L$2:$L986)&lt;&gt;ROW('Списки блоков'!$L$3)),0),0)),"","Спонсоры,")
&amp;IF(ISERROR(MATCH(1,INDEX(('Списки блоков'!$M$2:$M986=B95)*(ROW('Списки блоков'!$M$2:$M986)&lt;&gt;ROW('Списки блоков'!$M$3)),0),0)),"","Склад,")
&amp;IF(ISERROR(MATCH(1,INDEX(('Списки блоков'!$N$2:$N986=B95)*(ROW('Списки блоков'!$N$2:$N986)&lt;&gt;ROW('Списки блоков'!$N$3)),0),0)),"","Сценаристы,")
&amp;IF(ISERROR(MATCH(1,INDEX(('Списки блоков'!$O$2:$O986=B95)*(ROW('Списки блоков'!$O$2:$O986)&lt;&gt;ROW('Списки блоков'!$O$3)),0),0)),"","Техники,")
&amp;IF(ISERROR(MATCH(1,INDEX(('Списки блоков'!$P$2:$P986=B95)*(ROW('Списки блоков'!$P$2:$P986)&lt;&gt;ROW('Списки блоков'!$P$3)),0),0)),"","УРС,")
&amp;IF(ISERROR(MATCH(1,INDEX(('Списки блоков'!$Q$2:$Q986=B95)*(ROW('Списки блоков'!$Q$2:$Q986)&lt;&gt;ROW('Списки блоков'!$Q$3)),0),0)),"","Фото,")
&amp;IF(ISERROR(MATCH(1,INDEX((#REF!=B95)*(ROW(#REF!)&lt;&gt;ROW(#REF!)),0),0)),"","ЭкоБлок,")
&amp;IF(ISERROR(MATCH(1,INDEX(('Списки блоков'!$R$2:$R986=B95)*(ROW('Списки блоков'!$R$2:$R986)&lt;&gt;ROW('Списки блоков'!$R$3)),0),0)),"","HR,")
&amp;IF(ISERROR(MATCH(1,INDEX(('Списки блоков'!$S$2:$S986=B95)*(ROW('Списки блоков'!$S$2:$S986)&lt;&gt;ROW('Списки блоков'!$S$3)),0),0)),"","Instagram,")
&amp;IF(ISERROR(MATCH(1,INDEX(('Списки блоков'!$T$2:$T986=B95)*(ROW('Списки блоков'!$T$2:$T986)&lt;&gt;ROW('Списки блоков'!$T$3)),0),0)),"","Zachёt,")
&amp;IF(ISERROR(MATCH(1,INDEX(('Списки блоков'!$U$2:$U986=B95)*(ROW('Списки блоков'!$U$2:$U986)&lt;&gt;ROW('Списки блоков'!$U$3)),0),0)),"","IT,")
&amp;IF(ISERROR(MATCH(1,INDEX(('Списки блоков'!$V$2:$V986=B95)*(ROW('Списки блоков'!$V$2:$V986)&lt;&gt;ROW('Списки блоков'!$V$3)),0),0)),"","ДК,")
</f>
        <v/>
      </c>
      <c r="F95" s="10" t="s">
        <v>470</v>
      </c>
      <c r="G95" s="40" t="s">
        <v>471</v>
      </c>
      <c r="H95" s="22" t="s">
        <v>472</v>
      </c>
      <c r="I95" s="41" t="s">
        <v>473</v>
      </c>
      <c r="J95" s="6" t="s">
        <v>22</v>
      </c>
    </row>
    <row r="96">
      <c r="A96" s="26" t="s">
        <v>474</v>
      </c>
      <c r="B96" s="2" t="str">
        <f t="shared" si="5"/>
        <v>Павлов Егор</v>
      </c>
      <c r="C96" s="9">
        <v>118.0</v>
      </c>
      <c r="D96" s="10" t="s">
        <v>475</v>
      </c>
      <c r="E96" s="2" t="str">
        <f t="array" ref="E96">IF(ISERROR(MATCH(1,INDEX(('Списки блоков'!$B$2:$B986=B96)*(ROW('Списки блоков'!$B$2:$B986)&lt;&gt;ROW('Списки блоков'!$B$3)),0),0)),"","БДНС,")
&amp;IF(ISERROR(MATCH(1,INDEX(('Списки блоков'!$C$2:$C986=B96)*(ROW('Списки блоков'!$C$2:$C986)&lt;&gt;ROW('Списки блоков'!$C$3)),0),0)),"","Видеолаба,")
&amp;IF(ISERROR(MATCH(1,INDEX(('Списки блоков'!$D$2:$D986=B96)*(ROW('Списки блоков'!$D$2:$D986)&lt;&gt;ROW('Списки блоков'!$D$3)),0),0)),"","Декораторы,")
&amp;IF(ISERROR(MATCH(1,INDEX(('Списки блоков'!$E$2:$E986=B96)*(ROW('Списки блоков'!$E$2:$E986)&lt;&gt;ROW('Списки блоков'!$E$3)),0),0)),"","Дизайн,")
&amp;IF(ISERROR(MATCH(1,INDEX(('Списки блоков'!$F$2:$F986=B96)*(ROW('Списки блоков'!$F$2:$F986)&lt;&gt;ROW('Списки блоков'!$F$3)),0),0)),"","Досуг,")
&amp;IF(ISERROR(MATCH(1,INDEX(('Списки блоков'!$G$2:$G986=B96)*(ROW('Списки блоков'!$G$2:$G986)&lt;&gt;ROW('Списки блоков'!$G$3)),0),0)),"","Закупки,")
&amp;IF(ISERROR(MATCH(1,INDEX(('Списки блоков'!$H$2:$H986=B96)*(ROW('Списки блоков'!$H$2:$H986)&lt;&gt;ROW('Списки блоков'!$H$3)),0),0)),"","ИнфоБлок,")
&amp;IF(ISERROR(MATCH(1,INDEX(('Списки блоков'!$I$2:$I986=B96)*(ROW('Списки блоков'!$I$2:$I986)&lt;&gt;ROW('Списки блоков'!$I$3)),0),0)),"","КГ,")
&amp;IF(ISERROR(MATCH(1,INDEX(('Списки блоков'!$J$2:$J986=B96)*(ROW('Списки блоков'!$J$2:$J986)&lt;&gt;ROW('Списки блоков'!$J$3)),0),0)),"","МП,")
&amp;IF(ISERROR(MATCH(1,INDEX(('Списки блоков'!$K$2:$K986=B96)*(ROW('Списки блоков'!$K$2:$K986)&lt;&gt;ROW('Списки блоков'!$K$3)),0),0)),"","Профорги,")
&amp;IF(ISERROR(MATCH(1,INDEX(('Списки блоков'!$L$2:$L986=B96)*(ROW('Списки блоков'!$L$2:$L986)&lt;&gt;ROW('Списки блоков'!$L$3)),0),0)),"","Спонсоры,")
&amp;IF(ISERROR(MATCH(1,INDEX(('Списки блоков'!$M$2:$M986=B96)*(ROW('Списки блоков'!$M$2:$M986)&lt;&gt;ROW('Списки блоков'!$M$3)),0),0)),"","Склад,")
&amp;IF(ISERROR(MATCH(1,INDEX(('Списки блоков'!$N$2:$N986=B96)*(ROW('Списки блоков'!$N$2:$N986)&lt;&gt;ROW('Списки блоков'!$N$3)),0),0)),"","Сценаристы,")
&amp;IF(ISERROR(MATCH(1,INDEX(('Списки блоков'!$O$2:$O986=B96)*(ROW('Списки блоков'!$O$2:$O986)&lt;&gt;ROW('Списки блоков'!$O$3)),0),0)),"","Техники,")
&amp;IF(ISERROR(MATCH(1,INDEX(('Списки блоков'!$P$2:$P986=B96)*(ROW('Списки блоков'!$P$2:$P986)&lt;&gt;ROW('Списки блоков'!$P$3)),0),0)),"","УРС,")
&amp;IF(ISERROR(MATCH(1,INDEX(('Списки блоков'!$Q$2:$Q986=B96)*(ROW('Списки блоков'!$Q$2:$Q986)&lt;&gt;ROW('Списки блоков'!$Q$3)),0),0)),"","Фото,")
&amp;IF(ISERROR(MATCH(1,INDEX((#REF!=B96)*(ROW(#REF!)&lt;&gt;ROW(#REF!)),0),0)),"","ЭкоБлок,")
&amp;IF(ISERROR(MATCH(1,INDEX(('Списки блоков'!$R$2:$R986=B96)*(ROW('Списки блоков'!$R$2:$R986)&lt;&gt;ROW('Списки блоков'!$R$3)),0),0)),"","HR,")
&amp;IF(ISERROR(MATCH(1,INDEX(('Списки блоков'!$S$2:$S986=B96)*(ROW('Списки блоков'!$S$2:$S986)&lt;&gt;ROW('Списки блоков'!$S$3)),0),0)),"","Instagram,")
&amp;IF(ISERROR(MATCH(1,INDEX(('Списки блоков'!$T$2:$T986=B96)*(ROW('Списки блоков'!$T$2:$T986)&lt;&gt;ROW('Списки блоков'!$T$3)),0),0)),"","Zachёt,")
&amp;IF(ISERROR(MATCH(1,INDEX(('Списки блоков'!$U$2:$U986=B96)*(ROW('Списки блоков'!$U$2:$U986)&lt;&gt;ROW('Списки блоков'!$U$3)),0),0)),"","IT,")
&amp;IF(ISERROR(MATCH(1,INDEX(('Списки блоков'!$V$2:$V986=B96)*(ROW('Списки блоков'!$V$2:$V986)&lt;&gt;ROW('Списки блоков'!$V$3)),0),0)),"","ДК,")
</f>
        <v>Видеолаба,IT,</v>
      </c>
      <c r="F96" s="14">
        <v>8.908937744E10</v>
      </c>
      <c r="G96" s="42" t="s">
        <v>476</v>
      </c>
      <c r="H96" s="28" t="s">
        <v>477</v>
      </c>
      <c r="I96" s="43" t="s">
        <v>478</v>
      </c>
      <c r="J96" s="6" t="s">
        <v>22</v>
      </c>
    </row>
    <row r="97">
      <c r="A97" s="44" t="s">
        <v>479</v>
      </c>
      <c r="B97" s="2" t="str">
        <f t="shared" si="5"/>
        <v>Панкин Дмитрий</v>
      </c>
      <c r="C97" s="3">
        <v>205.0</v>
      </c>
      <c r="D97" s="2" t="s">
        <v>480</v>
      </c>
      <c r="E97" s="2" t="str">
        <f t="array" ref="E97">IF(ISERROR(MATCH(1,INDEX(('Списки блоков'!$B$2:$B986=B97)*(ROW('Списки блоков'!$B$2:$B986)&lt;&gt;ROW('Списки блоков'!$B$3)),0),0)),"","БДНС,")
&amp;IF(ISERROR(MATCH(1,INDEX(('Списки блоков'!$C$2:$C986=B97)*(ROW('Списки блоков'!$C$2:$C986)&lt;&gt;ROW('Списки блоков'!$C$3)),0),0)),"","Видеолаба,")
&amp;IF(ISERROR(MATCH(1,INDEX(('Списки блоков'!$D$2:$D986=B97)*(ROW('Списки блоков'!$D$2:$D986)&lt;&gt;ROW('Списки блоков'!$D$3)),0),0)),"","Декораторы,")
&amp;IF(ISERROR(MATCH(1,INDEX(('Списки блоков'!$E$2:$E986=B97)*(ROW('Списки блоков'!$E$2:$E986)&lt;&gt;ROW('Списки блоков'!$E$3)),0),0)),"","Дизайн,")
&amp;IF(ISERROR(MATCH(1,INDEX(('Списки блоков'!$F$2:$F986=B97)*(ROW('Списки блоков'!$F$2:$F986)&lt;&gt;ROW('Списки блоков'!$F$3)),0),0)),"","Досуг,")
&amp;IF(ISERROR(MATCH(1,INDEX(('Списки блоков'!$G$2:$G986=B97)*(ROW('Списки блоков'!$G$2:$G986)&lt;&gt;ROW('Списки блоков'!$G$3)),0),0)),"","Закупки,")
&amp;IF(ISERROR(MATCH(1,INDEX(('Списки блоков'!$H$2:$H986=B97)*(ROW('Списки блоков'!$H$2:$H986)&lt;&gt;ROW('Списки блоков'!$H$3)),0),0)),"","ИнфоБлок,")
&amp;IF(ISERROR(MATCH(1,INDEX(('Списки блоков'!$I$2:$I986=B97)*(ROW('Списки блоков'!$I$2:$I986)&lt;&gt;ROW('Списки блоков'!$I$3)),0),0)),"","КГ,")
&amp;IF(ISERROR(MATCH(1,INDEX(('Списки блоков'!$J$2:$J986=B97)*(ROW('Списки блоков'!$J$2:$J986)&lt;&gt;ROW('Списки блоков'!$J$3)),0),0)),"","МП,")
&amp;IF(ISERROR(MATCH(1,INDEX(('Списки блоков'!$K$2:$K986=B97)*(ROW('Списки блоков'!$K$2:$K986)&lt;&gt;ROW('Списки блоков'!$K$3)),0),0)),"","Профорги,")
&amp;IF(ISERROR(MATCH(1,INDEX(('Списки блоков'!$L$2:$L986=B97)*(ROW('Списки блоков'!$L$2:$L986)&lt;&gt;ROW('Списки блоков'!$L$3)),0),0)),"","Спонсоры,")
&amp;IF(ISERROR(MATCH(1,INDEX(('Списки блоков'!$M$2:$M986=B97)*(ROW('Списки блоков'!$M$2:$M986)&lt;&gt;ROW('Списки блоков'!$M$3)),0),0)),"","Склад,")
&amp;IF(ISERROR(MATCH(1,INDEX(('Списки блоков'!$N$2:$N986=B97)*(ROW('Списки блоков'!$N$2:$N986)&lt;&gt;ROW('Списки блоков'!$N$3)),0),0)),"","Сценаристы,")
&amp;IF(ISERROR(MATCH(1,INDEX(('Списки блоков'!$O$2:$O986=B97)*(ROW('Списки блоков'!$O$2:$O986)&lt;&gt;ROW('Списки блоков'!$O$3)),0),0)),"","Техники,")
&amp;IF(ISERROR(MATCH(1,INDEX(('Списки блоков'!$P$2:$P986=B97)*(ROW('Списки блоков'!$P$2:$P986)&lt;&gt;ROW('Списки блоков'!$P$3)),0),0)),"","УРС,")
&amp;IF(ISERROR(MATCH(1,INDEX(('Списки блоков'!$Q$2:$Q986=B97)*(ROW('Списки блоков'!$Q$2:$Q986)&lt;&gt;ROW('Списки блоков'!$Q$3)),0),0)),"","Фото,")
&amp;IF(ISERROR(MATCH(1,INDEX((#REF!=B97)*(ROW(#REF!)&lt;&gt;ROW(#REF!)),0),0)),"","ЭкоБлок,")
&amp;IF(ISERROR(MATCH(1,INDEX(('Списки блоков'!$R$2:$R986=B97)*(ROW('Списки блоков'!$R$2:$R986)&lt;&gt;ROW('Списки блоков'!$R$3)),0),0)),"","HR,")
&amp;IF(ISERROR(MATCH(1,INDEX(('Списки блоков'!$S$2:$S986=B97)*(ROW('Списки блоков'!$S$2:$S986)&lt;&gt;ROW('Списки блоков'!$S$3)),0),0)),"","Instagram,")
&amp;IF(ISERROR(MATCH(1,INDEX(('Списки блоков'!$T$2:$T986=B97)*(ROW('Списки блоков'!$T$2:$T986)&lt;&gt;ROW('Списки блоков'!$T$3)),0),0)),"","Zachёt,")
&amp;IF(ISERROR(MATCH(1,INDEX(('Списки блоков'!$U$2:$U986=B97)*(ROW('Списки блоков'!$U$2:$U986)&lt;&gt;ROW('Списки блоков'!$U$3)),0),0)),"","IT,")
&amp;IF(ISERROR(MATCH(1,INDEX(('Списки блоков'!$V$2:$V986=B97)*(ROW('Списки блоков'!$V$2:$V986)&lt;&gt;ROW('Списки блоков'!$V$3)),0),0)),"","ДК,")
</f>
        <v>Декораторы,Профорги,Сценаристы,</v>
      </c>
      <c r="F97" s="4">
        <v>8.9859602986E10</v>
      </c>
      <c r="G97" s="45" t="s">
        <v>481</v>
      </c>
      <c r="H97" s="44" t="s">
        <v>482</v>
      </c>
      <c r="I97" s="46" t="s">
        <v>483</v>
      </c>
      <c r="J97" s="7" t="s">
        <v>22</v>
      </c>
    </row>
    <row r="98">
      <c r="A98" s="47" t="s">
        <v>484</v>
      </c>
      <c r="B98" s="2" t="str">
        <f t="shared" si="5"/>
        <v>Панов Данила</v>
      </c>
      <c r="C98" s="9">
        <v>527.0</v>
      </c>
      <c r="D98" s="10" t="s">
        <v>485</v>
      </c>
      <c r="E98" s="2" t="str">
        <f t="array" ref="E98">IF(ISERROR(MATCH(1,INDEX(('Списки блоков'!$B$2:$B986=B98)*(ROW('Списки блоков'!$B$2:$B986)&lt;&gt;ROW('Списки блоков'!$B$3)),0),0)),"","БДНС,")
&amp;IF(ISERROR(MATCH(1,INDEX(('Списки блоков'!$C$2:$C986=B98)*(ROW('Списки блоков'!$C$2:$C986)&lt;&gt;ROW('Списки блоков'!$C$3)),0),0)),"","Видеолаба,")
&amp;IF(ISERROR(MATCH(1,INDEX(('Списки блоков'!$D$2:$D986=B98)*(ROW('Списки блоков'!$D$2:$D986)&lt;&gt;ROW('Списки блоков'!$D$3)),0),0)),"","Декораторы,")
&amp;IF(ISERROR(MATCH(1,INDEX(('Списки блоков'!$E$2:$E986=B98)*(ROW('Списки блоков'!$E$2:$E986)&lt;&gt;ROW('Списки блоков'!$E$3)),0),0)),"","Дизайн,")
&amp;IF(ISERROR(MATCH(1,INDEX(('Списки блоков'!$F$2:$F986=B98)*(ROW('Списки блоков'!$F$2:$F986)&lt;&gt;ROW('Списки блоков'!$F$3)),0),0)),"","Досуг,")
&amp;IF(ISERROR(MATCH(1,INDEX(('Списки блоков'!$G$2:$G986=B98)*(ROW('Списки блоков'!$G$2:$G986)&lt;&gt;ROW('Списки блоков'!$G$3)),0),0)),"","Закупки,")
&amp;IF(ISERROR(MATCH(1,INDEX(('Списки блоков'!$H$2:$H986=B98)*(ROW('Списки блоков'!$H$2:$H986)&lt;&gt;ROW('Списки блоков'!$H$3)),0),0)),"","ИнфоБлок,")
&amp;IF(ISERROR(MATCH(1,INDEX(('Списки блоков'!$I$2:$I986=B98)*(ROW('Списки блоков'!$I$2:$I986)&lt;&gt;ROW('Списки блоков'!$I$3)),0),0)),"","КГ,")
&amp;IF(ISERROR(MATCH(1,INDEX(('Списки блоков'!$J$2:$J986=B98)*(ROW('Списки блоков'!$J$2:$J986)&lt;&gt;ROW('Списки блоков'!$J$3)),0),0)),"","МП,")
&amp;IF(ISERROR(MATCH(1,INDEX(('Списки блоков'!$K$2:$K986=B98)*(ROW('Списки блоков'!$K$2:$K986)&lt;&gt;ROW('Списки блоков'!$K$3)),0),0)),"","Профорги,")
&amp;IF(ISERROR(MATCH(1,INDEX(('Списки блоков'!$L$2:$L986=B98)*(ROW('Списки блоков'!$L$2:$L986)&lt;&gt;ROW('Списки блоков'!$L$3)),0),0)),"","Спонсоры,")
&amp;IF(ISERROR(MATCH(1,INDEX(('Списки блоков'!$M$2:$M986=B98)*(ROW('Списки блоков'!$M$2:$M986)&lt;&gt;ROW('Списки блоков'!$M$3)),0),0)),"","Склад,")
&amp;IF(ISERROR(MATCH(1,INDEX(('Списки блоков'!$N$2:$N986=B98)*(ROW('Списки блоков'!$N$2:$N986)&lt;&gt;ROW('Списки блоков'!$N$3)),0),0)),"","Сценаристы,")
&amp;IF(ISERROR(MATCH(1,INDEX(('Списки блоков'!$O$2:$O986=B98)*(ROW('Списки блоков'!$O$2:$O986)&lt;&gt;ROW('Списки блоков'!$O$3)),0),0)),"","Техники,")
&amp;IF(ISERROR(MATCH(1,INDEX(('Списки блоков'!$P$2:$P986=B98)*(ROW('Списки блоков'!$P$2:$P986)&lt;&gt;ROW('Списки блоков'!$P$3)),0),0)),"","УРС,")
&amp;IF(ISERROR(MATCH(1,INDEX(('Списки блоков'!$Q$2:$Q986=B98)*(ROW('Списки блоков'!$Q$2:$Q986)&lt;&gt;ROW('Списки блоков'!$Q$3)),0),0)),"","Фото,")
&amp;IF(ISERROR(MATCH(1,INDEX((#REF!=B98)*(ROW(#REF!)&lt;&gt;ROW(#REF!)),0),0)),"","ЭкоБлок,")
&amp;IF(ISERROR(MATCH(1,INDEX(('Списки блоков'!$R$2:$R986=B98)*(ROW('Списки блоков'!$R$2:$R986)&lt;&gt;ROW('Списки блоков'!$R$3)),0),0)),"","HR,")
&amp;IF(ISERROR(MATCH(1,INDEX(('Списки блоков'!$S$2:$S986=B98)*(ROW('Списки блоков'!$S$2:$S986)&lt;&gt;ROW('Списки блоков'!$S$3)),0),0)),"","Instagram,")
&amp;IF(ISERROR(MATCH(1,INDEX(('Списки блоков'!$T$2:$T986=B98)*(ROW('Списки блоков'!$T$2:$T986)&lt;&gt;ROW('Списки блоков'!$T$3)),0),0)),"","Zachёt,")
&amp;IF(ISERROR(MATCH(1,INDEX(('Списки блоков'!$U$2:$U986=B98)*(ROW('Списки блоков'!$U$2:$U986)&lt;&gt;ROW('Списки блоков'!$U$3)),0),0)),"","IT,")
&amp;IF(ISERROR(MATCH(1,INDEX(('Списки блоков'!$V$2:$V986=B98)*(ROW('Списки блоков'!$V$2:$V986)&lt;&gt;ROW('Списки блоков'!$V$3)),0),0)),"","ДК,")
</f>
        <v>Видеолаба,УРС,Фото,</v>
      </c>
      <c r="F98" s="14">
        <v>8.927529219E10</v>
      </c>
      <c r="G98" s="48" t="s">
        <v>486</v>
      </c>
      <c r="H98" s="26" t="s">
        <v>487</v>
      </c>
      <c r="I98" s="43" t="s">
        <v>488</v>
      </c>
      <c r="J98" s="6" t="s">
        <v>22</v>
      </c>
    </row>
    <row r="99">
      <c r="A99" s="44" t="s">
        <v>489</v>
      </c>
      <c r="B99" s="2" t="str">
        <f t="shared" si="5"/>
        <v>Панфилова Арина</v>
      </c>
      <c r="C99" s="3">
        <v>205.0</v>
      </c>
      <c r="D99" s="2" t="s">
        <v>50</v>
      </c>
      <c r="E99" s="2" t="str">
        <f t="array" ref="E99">IF(ISERROR(MATCH(1,INDEX(('Списки блоков'!$B$2:$B986=B99)*(ROW('Списки блоков'!$B$2:$B986)&lt;&gt;ROW('Списки блоков'!$B$3)),0),0)),"","БДНС,")
&amp;IF(ISERROR(MATCH(1,INDEX(('Списки блоков'!$C$2:$C986=B99)*(ROW('Списки блоков'!$C$2:$C986)&lt;&gt;ROW('Списки блоков'!$C$3)),0),0)),"","Видеолаба,")
&amp;IF(ISERROR(MATCH(1,INDEX(('Списки блоков'!$D$2:$D986=B99)*(ROW('Списки блоков'!$D$2:$D986)&lt;&gt;ROW('Списки блоков'!$D$3)),0),0)),"","Декораторы,")
&amp;IF(ISERROR(MATCH(1,INDEX(('Списки блоков'!$E$2:$E986=B99)*(ROW('Списки блоков'!$E$2:$E986)&lt;&gt;ROW('Списки блоков'!$E$3)),0),0)),"","Дизайн,")
&amp;IF(ISERROR(MATCH(1,INDEX(('Списки блоков'!$F$2:$F986=B99)*(ROW('Списки блоков'!$F$2:$F986)&lt;&gt;ROW('Списки блоков'!$F$3)),0),0)),"","Досуг,")
&amp;IF(ISERROR(MATCH(1,INDEX(('Списки блоков'!$G$2:$G986=B99)*(ROW('Списки блоков'!$G$2:$G986)&lt;&gt;ROW('Списки блоков'!$G$3)),0),0)),"","Закупки,")
&amp;IF(ISERROR(MATCH(1,INDEX(('Списки блоков'!$H$2:$H986=B99)*(ROW('Списки блоков'!$H$2:$H986)&lt;&gt;ROW('Списки блоков'!$H$3)),0),0)),"","ИнфоБлок,")
&amp;IF(ISERROR(MATCH(1,INDEX(('Списки блоков'!$I$2:$I986=B99)*(ROW('Списки блоков'!$I$2:$I986)&lt;&gt;ROW('Списки блоков'!$I$3)),0),0)),"","КГ,")
&amp;IF(ISERROR(MATCH(1,INDEX(('Списки блоков'!$J$2:$J986=B99)*(ROW('Списки блоков'!$J$2:$J986)&lt;&gt;ROW('Списки блоков'!$J$3)),0),0)),"","МП,")
&amp;IF(ISERROR(MATCH(1,INDEX(('Списки блоков'!$K$2:$K986=B99)*(ROW('Списки блоков'!$K$2:$K986)&lt;&gt;ROW('Списки блоков'!$K$3)),0),0)),"","Профорги,")
&amp;IF(ISERROR(MATCH(1,INDEX(('Списки блоков'!$L$2:$L986=B99)*(ROW('Списки блоков'!$L$2:$L986)&lt;&gt;ROW('Списки блоков'!$L$3)),0),0)),"","Спонсоры,")
&amp;IF(ISERROR(MATCH(1,INDEX(('Списки блоков'!$M$2:$M986=B99)*(ROW('Списки блоков'!$M$2:$M986)&lt;&gt;ROW('Списки блоков'!$M$3)),0),0)),"","Склад,")
&amp;IF(ISERROR(MATCH(1,INDEX(('Списки блоков'!$N$2:$N986=B99)*(ROW('Списки блоков'!$N$2:$N986)&lt;&gt;ROW('Списки блоков'!$N$3)),0),0)),"","Сценаристы,")
&amp;IF(ISERROR(MATCH(1,INDEX(('Списки блоков'!$O$2:$O986=B99)*(ROW('Списки блоков'!$O$2:$O986)&lt;&gt;ROW('Списки блоков'!$O$3)),0),0)),"","Техники,")
&amp;IF(ISERROR(MATCH(1,INDEX(('Списки блоков'!$P$2:$P986=B99)*(ROW('Списки блоков'!$P$2:$P986)&lt;&gt;ROW('Списки блоков'!$P$3)),0),0)),"","УРС,")
&amp;IF(ISERROR(MATCH(1,INDEX(('Списки блоков'!$Q$2:$Q986=B99)*(ROW('Списки блоков'!$Q$2:$Q986)&lt;&gt;ROW('Списки блоков'!$Q$3)),0),0)),"","Фото,")
&amp;IF(ISERROR(MATCH(1,INDEX((#REF!=B99)*(ROW(#REF!)&lt;&gt;ROW(#REF!)),0),0)),"","ЭкоБлок,")
&amp;IF(ISERROR(MATCH(1,INDEX(('Списки блоков'!$R$2:$R986=B99)*(ROW('Списки блоков'!$R$2:$R986)&lt;&gt;ROW('Списки блоков'!$R$3)),0),0)),"","HR,")
&amp;IF(ISERROR(MATCH(1,INDEX(('Списки блоков'!$S$2:$S986=B99)*(ROW('Списки блоков'!$S$2:$S986)&lt;&gt;ROW('Списки блоков'!$S$3)),0),0)),"","Instagram,")
&amp;IF(ISERROR(MATCH(1,INDEX(('Списки блоков'!$T$2:$T986=B99)*(ROW('Списки блоков'!$T$2:$T986)&lt;&gt;ROW('Списки блоков'!$T$3)),0),0)),"","Zachёt,")
&amp;IF(ISERROR(MATCH(1,INDEX(('Списки блоков'!$U$2:$U986=B99)*(ROW('Списки блоков'!$U$2:$U986)&lt;&gt;ROW('Списки блоков'!$U$3)),0),0)),"","IT,")
&amp;IF(ISERROR(MATCH(1,INDEX(('Списки блоков'!$V$2:$V986=B99)*(ROW('Списки блоков'!$V$2:$V986)&lt;&gt;ROW('Списки блоков'!$V$3)),0),0)),"","ДК,")
</f>
        <v>Декораторы,УРС,Фото,ДК,</v>
      </c>
      <c r="F99" s="8">
        <v>8.9169937248E10</v>
      </c>
      <c r="G99" s="45" t="s">
        <v>490</v>
      </c>
      <c r="H99" s="49" t="s">
        <v>491</v>
      </c>
      <c r="I99" s="46" t="s">
        <v>492</v>
      </c>
      <c r="J99" s="7" t="s">
        <v>22</v>
      </c>
    </row>
    <row r="100">
      <c r="A100" s="47" t="s">
        <v>493</v>
      </c>
      <c r="B100" s="2" t="str">
        <f t="shared" si="5"/>
        <v>Пелевина Виктория</v>
      </c>
      <c r="C100" s="9">
        <v>323.0</v>
      </c>
      <c r="D100" s="10" t="s">
        <v>50</v>
      </c>
      <c r="E100" s="2" t="str">
        <f t="array" ref="E100">IF(ISERROR(MATCH(1,INDEX(('Списки блоков'!$B$2:$B986=B100)*(ROW('Списки блоков'!$B$2:$B986)&lt;&gt;ROW('Списки блоков'!$B$3)),0),0)),"","БДНС,")
&amp;IF(ISERROR(MATCH(1,INDEX(('Списки блоков'!$C$2:$C986=B100)*(ROW('Списки блоков'!$C$2:$C986)&lt;&gt;ROW('Списки блоков'!$C$3)),0),0)),"","Видеолаба,")
&amp;IF(ISERROR(MATCH(1,INDEX(('Списки блоков'!$D$2:$D986=B100)*(ROW('Списки блоков'!$D$2:$D986)&lt;&gt;ROW('Списки блоков'!$D$3)),0),0)),"","Декораторы,")
&amp;IF(ISERROR(MATCH(1,INDEX(('Списки блоков'!$E$2:$E986=B100)*(ROW('Списки блоков'!$E$2:$E986)&lt;&gt;ROW('Списки блоков'!$E$3)),0),0)),"","Дизайн,")
&amp;IF(ISERROR(MATCH(1,INDEX(('Списки блоков'!$F$2:$F986=B100)*(ROW('Списки блоков'!$F$2:$F986)&lt;&gt;ROW('Списки блоков'!$F$3)),0),0)),"","Досуг,")
&amp;IF(ISERROR(MATCH(1,INDEX(('Списки блоков'!$G$2:$G986=B100)*(ROW('Списки блоков'!$G$2:$G986)&lt;&gt;ROW('Списки блоков'!$G$3)),0),0)),"","Закупки,")
&amp;IF(ISERROR(MATCH(1,INDEX(('Списки блоков'!$H$2:$H986=B100)*(ROW('Списки блоков'!$H$2:$H986)&lt;&gt;ROW('Списки блоков'!$H$3)),0),0)),"","ИнфоБлок,")
&amp;IF(ISERROR(MATCH(1,INDEX(('Списки блоков'!$I$2:$I986=B100)*(ROW('Списки блоков'!$I$2:$I986)&lt;&gt;ROW('Списки блоков'!$I$3)),0),0)),"","КГ,")
&amp;IF(ISERROR(MATCH(1,INDEX(('Списки блоков'!$J$2:$J986=B100)*(ROW('Списки блоков'!$J$2:$J986)&lt;&gt;ROW('Списки блоков'!$J$3)),0),0)),"","МП,")
&amp;IF(ISERROR(MATCH(1,INDEX(('Списки блоков'!$K$2:$K986=B100)*(ROW('Списки блоков'!$K$2:$K986)&lt;&gt;ROW('Списки блоков'!$K$3)),0),0)),"","Профорги,")
&amp;IF(ISERROR(MATCH(1,INDEX(('Списки блоков'!$L$2:$L986=B100)*(ROW('Списки блоков'!$L$2:$L986)&lt;&gt;ROW('Списки блоков'!$L$3)),0),0)),"","Спонсоры,")
&amp;IF(ISERROR(MATCH(1,INDEX(('Списки блоков'!$M$2:$M986=B100)*(ROW('Списки блоков'!$M$2:$M986)&lt;&gt;ROW('Списки блоков'!$M$3)),0),0)),"","Склад,")
&amp;IF(ISERROR(MATCH(1,INDEX(('Списки блоков'!$N$2:$N986=B100)*(ROW('Списки блоков'!$N$2:$N986)&lt;&gt;ROW('Списки блоков'!$N$3)),0),0)),"","Сценаристы,")
&amp;IF(ISERROR(MATCH(1,INDEX(('Списки блоков'!$O$2:$O986=B100)*(ROW('Списки блоков'!$O$2:$O986)&lt;&gt;ROW('Списки блоков'!$O$3)),0),0)),"","Техники,")
&amp;IF(ISERROR(MATCH(1,INDEX(('Списки блоков'!$P$2:$P986=B100)*(ROW('Списки блоков'!$P$2:$P986)&lt;&gt;ROW('Списки блоков'!$P$3)),0),0)),"","УРС,")
&amp;IF(ISERROR(MATCH(1,INDEX(('Списки блоков'!$Q$2:$Q986=B100)*(ROW('Списки блоков'!$Q$2:$Q986)&lt;&gt;ROW('Списки блоков'!$Q$3)),0),0)),"","Фото,")
&amp;IF(ISERROR(MATCH(1,INDEX((#REF!=B100)*(ROW(#REF!)&lt;&gt;ROW(#REF!)),0),0)),"","ЭкоБлок,")
&amp;IF(ISERROR(MATCH(1,INDEX(('Списки блоков'!$R$2:$R986=B100)*(ROW('Списки блоков'!$R$2:$R986)&lt;&gt;ROW('Списки блоков'!$R$3)),0),0)),"","HR,")
&amp;IF(ISERROR(MATCH(1,INDEX(('Списки блоков'!$S$2:$S986=B100)*(ROW('Списки блоков'!$S$2:$S986)&lt;&gt;ROW('Списки блоков'!$S$3)),0),0)),"","Instagram,")
&amp;IF(ISERROR(MATCH(1,INDEX(('Списки блоков'!$T$2:$T986=B100)*(ROW('Списки блоков'!$T$2:$T986)&lt;&gt;ROW('Списки блоков'!$T$3)),0),0)),"","Zachёt,")
&amp;IF(ISERROR(MATCH(1,INDEX(('Списки блоков'!$U$2:$U986=B100)*(ROW('Списки блоков'!$U$2:$U986)&lt;&gt;ROW('Списки блоков'!$U$3)),0),0)),"","IT,")
&amp;IF(ISERROR(MATCH(1,INDEX(('Списки блоков'!$V$2:$V986=B100)*(ROW('Списки блоков'!$V$2:$V986)&lt;&gt;ROW('Списки блоков'!$V$3)),0),0)),"","ДК,")
</f>
        <v>БДНС,Декораторы,Фото,ДК,</v>
      </c>
      <c r="F100" s="11">
        <v>8.9109809096E10</v>
      </c>
      <c r="G100" s="42" t="s">
        <v>494</v>
      </c>
      <c r="H100" s="26" t="s">
        <v>495</v>
      </c>
      <c r="I100" s="43" t="s">
        <v>496</v>
      </c>
      <c r="J100" s="6" t="s">
        <v>22</v>
      </c>
    </row>
    <row r="101">
      <c r="A101" s="44" t="s">
        <v>497</v>
      </c>
      <c r="B101" s="2" t="str">
        <f t="shared" si="5"/>
        <v>Пескова Карина</v>
      </c>
      <c r="C101" s="3">
        <v>317.0</v>
      </c>
      <c r="D101" s="2" t="s">
        <v>498</v>
      </c>
      <c r="E101" s="2" t="str">
        <f t="array" ref="E101">IF(ISERROR(MATCH(1,INDEX(('Списки блоков'!$B$2:$B986=B101)*(ROW('Списки блоков'!$B$2:$B986)&lt;&gt;ROW('Списки блоков'!$B$3)),0),0)),"","БДНС,")
&amp;IF(ISERROR(MATCH(1,INDEX(('Списки блоков'!$C$2:$C986=B101)*(ROW('Списки блоков'!$C$2:$C986)&lt;&gt;ROW('Списки блоков'!$C$3)),0),0)),"","Видеолаба,")
&amp;IF(ISERROR(MATCH(1,INDEX(('Списки блоков'!$D$2:$D986=B101)*(ROW('Списки блоков'!$D$2:$D986)&lt;&gt;ROW('Списки блоков'!$D$3)),0),0)),"","Декораторы,")
&amp;IF(ISERROR(MATCH(1,INDEX(('Списки блоков'!$E$2:$E986=B101)*(ROW('Списки блоков'!$E$2:$E986)&lt;&gt;ROW('Списки блоков'!$E$3)),0),0)),"","Дизайн,")
&amp;IF(ISERROR(MATCH(1,INDEX(('Списки блоков'!$F$2:$F986=B101)*(ROW('Списки блоков'!$F$2:$F986)&lt;&gt;ROW('Списки блоков'!$F$3)),0),0)),"","Досуг,")
&amp;IF(ISERROR(MATCH(1,INDEX(('Списки блоков'!$G$2:$G986=B101)*(ROW('Списки блоков'!$G$2:$G986)&lt;&gt;ROW('Списки блоков'!$G$3)),0),0)),"","Закупки,")
&amp;IF(ISERROR(MATCH(1,INDEX(('Списки блоков'!$H$2:$H986=B101)*(ROW('Списки блоков'!$H$2:$H986)&lt;&gt;ROW('Списки блоков'!$H$3)),0),0)),"","ИнфоБлок,")
&amp;IF(ISERROR(MATCH(1,INDEX(('Списки блоков'!$I$2:$I986=B101)*(ROW('Списки блоков'!$I$2:$I986)&lt;&gt;ROW('Списки блоков'!$I$3)),0),0)),"","КГ,")
&amp;IF(ISERROR(MATCH(1,INDEX(('Списки блоков'!$J$2:$J986=B101)*(ROW('Списки блоков'!$J$2:$J986)&lt;&gt;ROW('Списки блоков'!$J$3)),0),0)),"","МП,")
&amp;IF(ISERROR(MATCH(1,INDEX(('Списки блоков'!$K$2:$K986=B101)*(ROW('Списки блоков'!$K$2:$K986)&lt;&gt;ROW('Списки блоков'!$K$3)),0),0)),"","Профорги,")
&amp;IF(ISERROR(MATCH(1,INDEX(('Списки блоков'!$L$2:$L986=B101)*(ROW('Списки блоков'!$L$2:$L986)&lt;&gt;ROW('Списки блоков'!$L$3)),0),0)),"","Спонсоры,")
&amp;IF(ISERROR(MATCH(1,INDEX(('Списки блоков'!$M$2:$M986=B101)*(ROW('Списки блоков'!$M$2:$M986)&lt;&gt;ROW('Списки блоков'!$M$3)),0),0)),"","Склад,")
&amp;IF(ISERROR(MATCH(1,INDEX(('Списки блоков'!$N$2:$N986=B101)*(ROW('Списки блоков'!$N$2:$N986)&lt;&gt;ROW('Списки блоков'!$N$3)),0),0)),"","Сценаристы,")
&amp;IF(ISERROR(MATCH(1,INDEX(('Списки блоков'!$O$2:$O986=B101)*(ROW('Списки блоков'!$O$2:$O986)&lt;&gt;ROW('Списки блоков'!$O$3)),0),0)),"","Техники,")
&amp;IF(ISERROR(MATCH(1,INDEX(('Списки блоков'!$P$2:$P986=B101)*(ROW('Списки блоков'!$P$2:$P986)&lt;&gt;ROW('Списки блоков'!$P$3)),0),0)),"","УРС,")
&amp;IF(ISERROR(MATCH(1,INDEX(('Списки блоков'!$Q$2:$Q986=B101)*(ROW('Списки блоков'!$Q$2:$Q986)&lt;&gt;ROW('Списки блоков'!$Q$3)),0),0)),"","Фото,")
&amp;IF(ISERROR(MATCH(1,INDEX((#REF!=B101)*(ROW(#REF!)&lt;&gt;ROW(#REF!)),0),0)),"","ЭкоБлок,")
&amp;IF(ISERROR(MATCH(1,INDEX(('Списки блоков'!$R$2:$R986=B101)*(ROW('Списки блоков'!$R$2:$R986)&lt;&gt;ROW('Списки блоков'!$R$3)),0),0)),"","HR,")
&amp;IF(ISERROR(MATCH(1,INDEX(('Списки блоков'!$S$2:$S986=B101)*(ROW('Списки блоков'!$S$2:$S986)&lt;&gt;ROW('Списки блоков'!$S$3)),0),0)),"","Instagram,")
&amp;IF(ISERROR(MATCH(1,INDEX(('Списки блоков'!$T$2:$T986=B101)*(ROW('Списки блоков'!$T$2:$T986)&lt;&gt;ROW('Списки блоков'!$T$3)),0),0)),"","Zachёt,")
&amp;IF(ISERROR(MATCH(1,INDEX(('Списки блоков'!$U$2:$U986=B101)*(ROW('Списки блоков'!$U$2:$U986)&lt;&gt;ROW('Списки блоков'!$U$3)),0),0)),"","IT,")
&amp;IF(ISERROR(MATCH(1,INDEX(('Списки блоков'!$V$2:$V986=B101)*(ROW('Списки блоков'!$V$2:$V986)&lt;&gt;ROW('Списки блоков'!$V$3)),0),0)),"","ДК,")
</f>
        <v>Дизайн,Досуг,</v>
      </c>
      <c r="F101" s="8">
        <v>8.9127870807E10</v>
      </c>
      <c r="G101" s="45" t="s">
        <v>499</v>
      </c>
      <c r="H101" s="44" t="s">
        <v>500</v>
      </c>
      <c r="I101" s="46" t="s">
        <v>501</v>
      </c>
      <c r="J101" s="7" t="s">
        <v>22</v>
      </c>
    </row>
    <row r="102">
      <c r="A102" s="30" t="s">
        <v>502</v>
      </c>
      <c r="B102" s="2" t="str">
        <f t="shared" si="5"/>
        <v>Плинский Максим</v>
      </c>
      <c r="C102" s="3">
        <v>320.0</v>
      </c>
      <c r="D102" s="2" t="s">
        <v>503</v>
      </c>
      <c r="E102" s="2" t="str">
        <f t="array" ref="E102">IF(ISERROR(MATCH(1,INDEX(('Списки блоков'!$B$2:$B986=B102)*(ROW('Списки блоков'!$B$2:$B986)&lt;&gt;ROW('Списки блоков'!$B$3)),0),0)),"","БДНС,")
&amp;IF(ISERROR(MATCH(1,INDEX(('Списки блоков'!$C$2:$C986=B102)*(ROW('Списки блоков'!$C$2:$C986)&lt;&gt;ROW('Списки блоков'!$C$3)),0),0)),"","Видеолаба,")
&amp;IF(ISERROR(MATCH(1,INDEX(('Списки блоков'!$D$2:$D986=B102)*(ROW('Списки блоков'!$D$2:$D986)&lt;&gt;ROW('Списки блоков'!$D$3)),0),0)),"","Декораторы,")
&amp;IF(ISERROR(MATCH(1,INDEX(('Списки блоков'!$E$2:$E986=B102)*(ROW('Списки блоков'!$E$2:$E986)&lt;&gt;ROW('Списки блоков'!$E$3)),0),0)),"","Дизайн,")
&amp;IF(ISERROR(MATCH(1,INDEX(('Списки блоков'!$F$2:$F986=B102)*(ROW('Списки блоков'!$F$2:$F986)&lt;&gt;ROW('Списки блоков'!$F$3)),0),0)),"","Досуг,")
&amp;IF(ISERROR(MATCH(1,INDEX(('Списки блоков'!$G$2:$G986=B102)*(ROW('Списки блоков'!$G$2:$G986)&lt;&gt;ROW('Списки блоков'!$G$3)),0),0)),"","Закупки,")
&amp;IF(ISERROR(MATCH(1,INDEX(('Списки блоков'!$H$2:$H986=B102)*(ROW('Списки блоков'!$H$2:$H986)&lt;&gt;ROW('Списки блоков'!$H$3)),0),0)),"","ИнфоБлок,")
&amp;IF(ISERROR(MATCH(1,INDEX(('Списки блоков'!$I$2:$I986=B102)*(ROW('Списки блоков'!$I$2:$I986)&lt;&gt;ROW('Списки блоков'!$I$3)),0),0)),"","КГ,")
&amp;IF(ISERROR(MATCH(1,INDEX(('Списки блоков'!$J$2:$J986=B102)*(ROW('Списки блоков'!$J$2:$J986)&lt;&gt;ROW('Списки блоков'!$J$3)),0),0)),"","МП,")
&amp;IF(ISERROR(MATCH(1,INDEX(('Списки блоков'!$K$2:$K986=B102)*(ROW('Списки блоков'!$K$2:$K986)&lt;&gt;ROW('Списки блоков'!$K$3)),0),0)),"","Профорги,")
&amp;IF(ISERROR(MATCH(1,INDEX(('Списки блоков'!$L$2:$L986=B102)*(ROW('Списки блоков'!$L$2:$L986)&lt;&gt;ROW('Списки блоков'!$L$3)),0),0)),"","Спонсоры,")
&amp;IF(ISERROR(MATCH(1,INDEX(('Списки блоков'!$M$2:$M986=B102)*(ROW('Списки блоков'!$M$2:$M986)&lt;&gt;ROW('Списки блоков'!$M$3)),0),0)),"","Склад,")
&amp;IF(ISERROR(MATCH(1,INDEX(('Списки блоков'!$N$2:$N986=B102)*(ROW('Списки блоков'!$N$2:$N986)&lt;&gt;ROW('Списки блоков'!$N$3)),0),0)),"","Сценаристы,")
&amp;IF(ISERROR(MATCH(1,INDEX(('Списки блоков'!$O$2:$O986=B102)*(ROW('Списки блоков'!$O$2:$O986)&lt;&gt;ROW('Списки блоков'!$O$3)),0),0)),"","Техники,")
&amp;IF(ISERROR(MATCH(1,INDEX(('Списки блоков'!$P$2:$P986=B102)*(ROW('Списки блоков'!$P$2:$P986)&lt;&gt;ROW('Списки блоков'!$P$3)),0),0)),"","УРС,")
&amp;IF(ISERROR(MATCH(1,INDEX(('Списки блоков'!$Q$2:$Q986=B102)*(ROW('Списки блоков'!$Q$2:$Q986)&lt;&gt;ROW('Списки блоков'!$Q$3)),0),0)),"","Фото,")
&amp;IF(ISERROR(MATCH(1,INDEX((#REF!=B102)*(ROW(#REF!)&lt;&gt;ROW(#REF!)),0),0)),"","ЭкоБлок,")
&amp;IF(ISERROR(MATCH(1,INDEX(('Списки блоков'!$R$2:$R986=B102)*(ROW('Списки блоков'!$R$2:$R986)&lt;&gt;ROW('Списки блоков'!$R$3)),0),0)),"","HR,")
&amp;IF(ISERROR(MATCH(1,INDEX(('Списки блоков'!$S$2:$S986=B102)*(ROW('Списки блоков'!$S$2:$S986)&lt;&gt;ROW('Списки блоков'!$S$3)),0),0)),"","Instagram,")
&amp;IF(ISERROR(MATCH(1,INDEX(('Списки блоков'!$T$2:$T986=B102)*(ROW('Списки блоков'!$T$2:$T986)&lt;&gt;ROW('Списки блоков'!$T$3)),0),0)),"","Zachёt,")
&amp;IF(ISERROR(MATCH(1,INDEX(('Списки блоков'!$U$2:$U986=B102)*(ROW('Списки блоков'!$U$2:$U986)&lt;&gt;ROW('Списки блоков'!$U$3)),0),0)),"","IT,")
&amp;IF(ISERROR(MATCH(1,INDEX(('Списки блоков'!$V$2:$V986=B102)*(ROW('Списки блоков'!$V$2:$V986)&lt;&gt;ROW('Списки блоков'!$V$3)),0),0)),"","ДК,")
</f>
        <v>Техники,</v>
      </c>
      <c r="F102" s="8">
        <v>8.9165820775E10</v>
      </c>
      <c r="G102" s="50" t="s">
        <v>504</v>
      </c>
      <c r="H102" s="30" t="s">
        <v>505</v>
      </c>
      <c r="I102" s="51" t="s">
        <v>506</v>
      </c>
      <c r="J102" s="7" t="s">
        <v>22</v>
      </c>
    </row>
    <row r="103">
      <c r="A103" s="44" t="s">
        <v>507</v>
      </c>
      <c r="B103" s="2" t="str">
        <f t="shared" si="5"/>
        <v>Подъяблонский Егор</v>
      </c>
      <c r="C103" s="3">
        <v>317.0</v>
      </c>
      <c r="D103" s="2" t="s">
        <v>508</v>
      </c>
      <c r="E103" s="2" t="str">
        <f t="array" ref="E103">IF(ISERROR(MATCH(1,INDEX(('Списки блоков'!$B$2:$B986=B103)*(ROW('Списки блоков'!$B$2:$B986)&lt;&gt;ROW('Списки блоков'!$B$3)),0),0)),"","БДНС,")
&amp;IF(ISERROR(MATCH(1,INDEX(('Списки блоков'!$C$2:$C986=B103)*(ROW('Списки блоков'!$C$2:$C986)&lt;&gt;ROW('Списки блоков'!$C$3)),0),0)),"","Видеолаба,")
&amp;IF(ISERROR(MATCH(1,INDEX(('Списки блоков'!$D$2:$D986=B103)*(ROW('Списки блоков'!$D$2:$D986)&lt;&gt;ROW('Списки блоков'!$D$3)),0),0)),"","Декораторы,")
&amp;IF(ISERROR(MATCH(1,INDEX(('Списки блоков'!$E$2:$E986=B103)*(ROW('Списки блоков'!$E$2:$E986)&lt;&gt;ROW('Списки блоков'!$E$3)),0),0)),"","Дизайн,")
&amp;IF(ISERROR(MATCH(1,INDEX(('Списки блоков'!$F$2:$F986=B103)*(ROW('Списки блоков'!$F$2:$F986)&lt;&gt;ROW('Списки блоков'!$F$3)),0),0)),"","Досуг,")
&amp;IF(ISERROR(MATCH(1,INDEX(('Списки блоков'!$G$2:$G986=B103)*(ROW('Списки блоков'!$G$2:$G986)&lt;&gt;ROW('Списки блоков'!$G$3)),0),0)),"","Закупки,")
&amp;IF(ISERROR(MATCH(1,INDEX(('Списки блоков'!$H$2:$H986=B103)*(ROW('Списки блоков'!$H$2:$H986)&lt;&gt;ROW('Списки блоков'!$H$3)),0),0)),"","ИнфоБлок,")
&amp;IF(ISERROR(MATCH(1,INDEX(('Списки блоков'!$I$2:$I986=B103)*(ROW('Списки блоков'!$I$2:$I986)&lt;&gt;ROW('Списки блоков'!$I$3)),0),0)),"","КГ,")
&amp;IF(ISERROR(MATCH(1,INDEX(('Списки блоков'!$J$2:$J986=B103)*(ROW('Списки блоков'!$J$2:$J986)&lt;&gt;ROW('Списки блоков'!$J$3)),0),0)),"","МП,")
&amp;IF(ISERROR(MATCH(1,INDEX(('Списки блоков'!$K$2:$K986=B103)*(ROW('Списки блоков'!$K$2:$K986)&lt;&gt;ROW('Списки блоков'!$K$3)),0),0)),"","Профорги,")
&amp;IF(ISERROR(MATCH(1,INDEX(('Списки блоков'!$L$2:$L986=B103)*(ROW('Списки блоков'!$L$2:$L986)&lt;&gt;ROW('Списки блоков'!$L$3)),0),0)),"","Спонсоры,")
&amp;IF(ISERROR(MATCH(1,INDEX(('Списки блоков'!$M$2:$M986=B103)*(ROW('Списки блоков'!$M$2:$M986)&lt;&gt;ROW('Списки блоков'!$M$3)),0),0)),"","Склад,")
&amp;IF(ISERROR(MATCH(1,INDEX(('Списки блоков'!$N$2:$N986=B103)*(ROW('Списки блоков'!$N$2:$N986)&lt;&gt;ROW('Списки блоков'!$N$3)),0),0)),"","Сценаристы,")
&amp;IF(ISERROR(MATCH(1,INDEX(('Списки блоков'!$O$2:$O986=B103)*(ROW('Списки блоков'!$O$2:$O986)&lt;&gt;ROW('Списки блоков'!$O$3)),0),0)),"","Техники,")
&amp;IF(ISERROR(MATCH(1,INDEX(('Списки блоков'!$P$2:$P986=B103)*(ROW('Списки блоков'!$P$2:$P986)&lt;&gt;ROW('Списки блоков'!$P$3)),0),0)),"","УРС,")
&amp;IF(ISERROR(MATCH(1,INDEX(('Списки блоков'!$Q$2:$Q986=B103)*(ROW('Списки блоков'!$Q$2:$Q986)&lt;&gt;ROW('Списки блоков'!$Q$3)),0),0)),"","Фото,")
&amp;IF(ISERROR(MATCH(1,INDEX((#REF!=B103)*(ROW(#REF!)&lt;&gt;ROW(#REF!)),0),0)),"","ЭкоБлок,")
&amp;IF(ISERROR(MATCH(1,INDEX(('Списки блоков'!$R$2:$R986=B103)*(ROW('Списки блоков'!$R$2:$R986)&lt;&gt;ROW('Списки блоков'!$R$3)),0),0)),"","HR,")
&amp;IF(ISERROR(MATCH(1,INDEX(('Списки блоков'!$S$2:$S986=B103)*(ROW('Списки блоков'!$S$2:$S986)&lt;&gt;ROW('Списки блоков'!$S$3)),0),0)),"","Instagram,")
&amp;IF(ISERROR(MATCH(1,INDEX(('Списки блоков'!$T$2:$T986=B103)*(ROW('Списки блоков'!$T$2:$T986)&lt;&gt;ROW('Списки блоков'!$T$3)),0),0)),"","Zachёt,")
&amp;IF(ISERROR(MATCH(1,INDEX(('Списки блоков'!$U$2:$U986=B103)*(ROW('Списки блоков'!$U$2:$U986)&lt;&gt;ROW('Списки блоков'!$U$3)),0),0)),"","IT,")
&amp;IF(ISERROR(MATCH(1,INDEX(('Списки блоков'!$V$2:$V986=B103)*(ROW('Списки блоков'!$V$2:$V986)&lt;&gt;ROW('Списки блоков'!$V$3)),0),0)),"","ДК,")
</f>
        <v>Склад,HR,IT,ДК,</v>
      </c>
      <c r="F103" s="8">
        <v>8.9853359574E10</v>
      </c>
      <c r="G103" s="45" t="s">
        <v>509</v>
      </c>
      <c r="H103" s="49" t="s">
        <v>510</v>
      </c>
      <c r="I103" s="46" t="s">
        <v>511</v>
      </c>
      <c r="J103" s="7" t="s">
        <v>22</v>
      </c>
    </row>
    <row r="104">
      <c r="A104" s="30" t="s">
        <v>512</v>
      </c>
      <c r="B104" s="2" t="str">
        <f t="shared" si="5"/>
        <v>Полторак Сергей</v>
      </c>
      <c r="C104" s="3">
        <v>209.0</v>
      </c>
      <c r="D104" s="2" t="s">
        <v>513</v>
      </c>
      <c r="E104" s="2" t="str">
        <f t="array" ref="E104">IF(ISERROR(MATCH(1,INDEX(('Списки блоков'!$B$2:$B986=B104)*(ROW('Списки блоков'!$B$2:$B986)&lt;&gt;ROW('Списки блоков'!$B$3)),0),0)),"","БДНС,")
&amp;IF(ISERROR(MATCH(1,INDEX(('Списки блоков'!$C$2:$C986=B104)*(ROW('Списки блоков'!$C$2:$C986)&lt;&gt;ROW('Списки блоков'!$C$3)),0),0)),"","Видеолаба,")
&amp;IF(ISERROR(MATCH(1,INDEX(('Списки блоков'!$D$2:$D986=B104)*(ROW('Списки блоков'!$D$2:$D986)&lt;&gt;ROW('Списки блоков'!$D$3)),0),0)),"","Декораторы,")
&amp;IF(ISERROR(MATCH(1,INDEX(('Списки блоков'!$E$2:$E986=B104)*(ROW('Списки блоков'!$E$2:$E986)&lt;&gt;ROW('Списки блоков'!$E$3)),0),0)),"","Дизайн,")
&amp;IF(ISERROR(MATCH(1,INDEX(('Списки блоков'!$F$2:$F986=B104)*(ROW('Списки блоков'!$F$2:$F986)&lt;&gt;ROW('Списки блоков'!$F$3)),0),0)),"","Досуг,")
&amp;IF(ISERROR(MATCH(1,INDEX(('Списки блоков'!$G$2:$G986=B104)*(ROW('Списки блоков'!$G$2:$G986)&lt;&gt;ROW('Списки блоков'!$G$3)),0),0)),"","Закупки,")
&amp;IF(ISERROR(MATCH(1,INDEX(('Списки блоков'!$H$2:$H986=B104)*(ROW('Списки блоков'!$H$2:$H986)&lt;&gt;ROW('Списки блоков'!$H$3)),0),0)),"","ИнфоБлок,")
&amp;IF(ISERROR(MATCH(1,INDEX(('Списки блоков'!$I$2:$I986=B104)*(ROW('Списки блоков'!$I$2:$I986)&lt;&gt;ROW('Списки блоков'!$I$3)),0),0)),"","КГ,")
&amp;IF(ISERROR(MATCH(1,INDEX(('Списки блоков'!$J$2:$J986=B104)*(ROW('Списки блоков'!$J$2:$J986)&lt;&gt;ROW('Списки блоков'!$J$3)),0),0)),"","МП,")
&amp;IF(ISERROR(MATCH(1,INDEX(('Списки блоков'!$K$2:$K986=B104)*(ROW('Списки блоков'!$K$2:$K986)&lt;&gt;ROW('Списки блоков'!$K$3)),0),0)),"","Профорги,")
&amp;IF(ISERROR(MATCH(1,INDEX(('Списки блоков'!$L$2:$L986=B104)*(ROW('Списки блоков'!$L$2:$L986)&lt;&gt;ROW('Списки блоков'!$L$3)),0),0)),"","Спонсоры,")
&amp;IF(ISERROR(MATCH(1,INDEX(('Списки блоков'!$M$2:$M986=B104)*(ROW('Списки блоков'!$M$2:$M986)&lt;&gt;ROW('Списки блоков'!$M$3)),0),0)),"","Склад,")
&amp;IF(ISERROR(MATCH(1,INDEX(('Списки блоков'!$N$2:$N986=B104)*(ROW('Списки блоков'!$N$2:$N986)&lt;&gt;ROW('Списки блоков'!$N$3)),0),0)),"","Сценаристы,")
&amp;IF(ISERROR(MATCH(1,INDEX(('Списки блоков'!$O$2:$O986=B104)*(ROW('Списки блоков'!$O$2:$O986)&lt;&gt;ROW('Списки блоков'!$O$3)),0),0)),"","Техники,")
&amp;IF(ISERROR(MATCH(1,INDEX(('Списки блоков'!$P$2:$P986=B104)*(ROW('Списки блоков'!$P$2:$P986)&lt;&gt;ROW('Списки блоков'!$P$3)),0),0)),"","УРС,")
&amp;IF(ISERROR(MATCH(1,INDEX(('Списки блоков'!$Q$2:$Q986=B104)*(ROW('Списки блоков'!$Q$2:$Q986)&lt;&gt;ROW('Списки блоков'!$Q$3)),0),0)),"","Фото,")
&amp;IF(ISERROR(MATCH(1,INDEX((#REF!=B104)*(ROW(#REF!)&lt;&gt;ROW(#REF!)),0),0)),"","ЭкоБлок,")
&amp;IF(ISERROR(MATCH(1,INDEX(('Списки блоков'!$R$2:$R986=B104)*(ROW('Списки блоков'!$R$2:$R986)&lt;&gt;ROW('Списки блоков'!$R$3)),0),0)),"","HR,")
&amp;IF(ISERROR(MATCH(1,INDEX(('Списки блоков'!$S$2:$S986=B104)*(ROW('Списки блоков'!$S$2:$S986)&lt;&gt;ROW('Списки блоков'!$S$3)),0),0)),"","Instagram,")
&amp;IF(ISERROR(MATCH(1,INDEX(('Списки блоков'!$T$2:$T986=B104)*(ROW('Списки блоков'!$T$2:$T986)&lt;&gt;ROW('Списки блоков'!$T$3)),0),0)),"","Zachёt,")
&amp;IF(ISERROR(MATCH(1,INDEX(('Списки блоков'!$U$2:$U986=B104)*(ROW('Списки блоков'!$U$2:$U986)&lt;&gt;ROW('Списки блоков'!$U$3)),0),0)),"","IT,")
&amp;IF(ISERROR(MATCH(1,INDEX(('Списки блоков'!$V$2:$V986=B104)*(ROW('Списки блоков'!$V$2:$V986)&lt;&gt;ROW('Списки блоков'!$V$3)),0),0)),"","ДК,")
</f>
        <v>Декораторы,Дизайн,КГ,</v>
      </c>
      <c r="F104" s="2" t="s">
        <v>514</v>
      </c>
      <c r="G104" s="50" t="s">
        <v>515</v>
      </c>
      <c r="H104" s="33" t="s">
        <v>516</v>
      </c>
      <c r="I104" s="51" t="s">
        <v>517</v>
      </c>
      <c r="J104" s="7" t="s">
        <v>15</v>
      </c>
    </row>
    <row r="105">
      <c r="A105" s="22" t="s">
        <v>518</v>
      </c>
      <c r="B105" s="2" t="str">
        <f t="shared" si="5"/>
        <v>Полянин Даниил</v>
      </c>
      <c r="C105" s="9">
        <v>208.0</v>
      </c>
      <c r="D105" s="10" t="s">
        <v>313</v>
      </c>
      <c r="E105" s="2" t="str">
        <f t="array" ref="E105">IF(ISERROR(MATCH(1,INDEX(('Списки блоков'!$B$2:$B986=B105)*(ROW('Списки блоков'!$B$2:$B986)&lt;&gt;ROW('Списки блоков'!$B$3)),0),0)),"","БДНС,")
&amp;IF(ISERROR(MATCH(1,INDEX(('Списки блоков'!$C$2:$C986=B105)*(ROW('Списки блоков'!$C$2:$C986)&lt;&gt;ROW('Списки блоков'!$C$3)),0),0)),"","Видеолаба,")
&amp;IF(ISERROR(MATCH(1,INDEX(('Списки блоков'!$D$2:$D986=B105)*(ROW('Списки блоков'!$D$2:$D986)&lt;&gt;ROW('Списки блоков'!$D$3)),0),0)),"","Декораторы,")
&amp;IF(ISERROR(MATCH(1,INDEX(('Списки блоков'!$E$2:$E986=B105)*(ROW('Списки блоков'!$E$2:$E986)&lt;&gt;ROW('Списки блоков'!$E$3)),0),0)),"","Дизайн,")
&amp;IF(ISERROR(MATCH(1,INDEX(('Списки блоков'!$F$2:$F986=B105)*(ROW('Списки блоков'!$F$2:$F986)&lt;&gt;ROW('Списки блоков'!$F$3)),0),0)),"","Досуг,")
&amp;IF(ISERROR(MATCH(1,INDEX(('Списки блоков'!$G$2:$G986=B105)*(ROW('Списки блоков'!$G$2:$G986)&lt;&gt;ROW('Списки блоков'!$G$3)),0),0)),"","Закупки,")
&amp;IF(ISERROR(MATCH(1,INDEX(('Списки блоков'!$H$2:$H986=B105)*(ROW('Списки блоков'!$H$2:$H986)&lt;&gt;ROW('Списки блоков'!$H$3)),0),0)),"","ИнфоБлок,")
&amp;IF(ISERROR(MATCH(1,INDEX(('Списки блоков'!$I$2:$I986=B105)*(ROW('Списки блоков'!$I$2:$I986)&lt;&gt;ROW('Списки блоков'!$I$3)),0),0)),"","КГ,")
&amp;IF(ISERROR(MATCH(1,INDEX(('Списки блоков'!$J$2:$J986=B105)*(ROW('Списки блоков'!$J$2:$J986)&lt;&gt;ROW('Списки блоков'!$J$3)),0),0)),"","МП,")
&amp;IF(ISERROR(MATCH(1,INDEX(('Списки блоков'!$K$2:$K986=B105)*(ROW('Списки блоков'!$K$2:$K986)&lt;&gt;ROW('Списки блоков'!$K$3)),0),0)),"","Профорги,")
&amp;IF(ISERROR(MATCH(1,INDEX(('Списки блоков'!$L$2:$L986=B105)*(ROW('Списки блоков'!$L$2:$L986)&lt;&gt;ROW('Списки блоков'!$L$3)),0),0)),"","Спонсоры,")
&amp;IF(ISERROR(MATCH(1,INDEX(('Списки блоков'!$M$2:$M986=B105)*(ROW('Списки блоков'!$M$2:$M986)&lt;&gt;ROW('Списки блоков'!$M$3)),0),0)),"","Склад,")
&amp;IF(ISERROR(MATCH(1,INDEX(('Списки блоков'!$N$2:$N986=B105)*(ROW('Списки блоков'!$N$2:$N986)&lt;&gt;ROW('Списки блоков'!$N$3)),0),0)),"","Сценаристы,")
&amp;IF(ISERROR(MATCH(1,INDEX(('Списки блоков'!$O$2:$O986=B105)*(ROW('Списки блоков'!$O$2:$O986)&lt;&gt;ROW('Списки блоков'!$O$3)),0),0)),"","Техники,")
&amp;IF(ISERROR(MATCH(1,INDEX(('Списки блоков'!$P$2:$P986=B105)*(ROW('Списки блоков'!$P$2:$P986)&lt;&gt;ROW('Списки блоков'!$P$3)),0),0)),"","УРС,")
&amp;IF(ISERROR(MATCH(1,INDEX(('Списки блоков'!$Q$2:$Q986=B105)*(ROW('Списки блоков'!$Q$2:$Q986)&lt;&gt;ROW('Списки блоков'!$Q$3)),0),0)),"","Фото,")
&amp;IF(ISERROR(MATCH(1,INDEX((#REF!=B105)*(ROW(#REF!)&lt;&gt;ROW(#REF!)),0),0)),"","ЭкоБлок,")
&amp;IF(ISERROR(MATCH(1,INDEX(('Списки блоков'!$R$2:$R986=B105)*(ROW('Списки блоков'!$R$2:$R986)&lt;&gt;ROW('Списки блоков'!$R$3)),0),0)),"","HR,")
&amp;IF(ISERROR(MATCH(1,INDEX(('Списки блоков'!$S$2:$S986=B105)*(ROW('Списки блоков'!$S$2:$S986)&lt;&gt;ROW('Списки блоков'!$S$3)),0),0)),"","Instagram,")
&amp;IF(ISERROR(MATCH(1,INDEX(('Списки блоков'!$T$2:$T986=B105)*(ROW('Списки блоков'!$T$2:$T986)&lt;&gt;ROW('Списки блоков'!$T$3)),0),0)),"","Zachёt,")
&amp;IF(ISERROR(MATCH(1,INDEX(('Списки блоков'!$U$2:$U986=B105)*(ROW('Списки блоков'!$U$2:$U986)&lt;&gt;ROW('Списки блоков'!$U$3)),0),0)),"","IT,")
&amp;IF(ISERROR(MATCH(1,INDEX(('Списки блоков'!$V$2:$V986=B105)*(ROW('Списки блоков'!$V$2:$V986)&lt;&gt;ROW('Списки блоков'!$V$3)),0),0)),"","ДК,")
</f>
        <v>Спонсоры,</v>
      </c>
      <c r="F105" s="11">
        <v>8.9259067475E10</v>
      </c>
      <c r="G105" s="52" t="s">
        <v>519</v>
      </c>
      <c r="H105" s="23" t="s">
        <v>520</v>
      </c>
      <c r="I105" s="41" t="s">
        <v>521</v>
      </c>
      <c r="J105" s="6" t="s">
        <v>15</v>
      </c>
    </row>
    <row r="106">
      <c r="A106" s="30" t="s">
        <v>522</v>
      </c>
      <c r="B106" s="2" t="str">
        <f t="shared" si="5"/>
        <v>Попова Мария</v>
      </c>
      <c r="C106" s="3">
        <v>312.0</v>
      </c>
      <c r="D106" s="2" t="s">
        <v>523</v>
      </c>
      <c r="E106" s="2" t="str">
        <f t="array" ref="E106">IF(ISERROR(MATCH(1,INDEX(('Списки блоков'!$B$2:$B986=B106)*(ROW('Списки блоков'!$B$2:$B986)&lt;&gt;ROW('Списки блоков'!$B$3)),0),0)),"","БДНС,")
&amp;IF(ISERROR(MATCH(1,INDEX(('Списки блоков'!$C$2:$C986=B106)*(ROW('Списки блоков'!$C$2:$C986)&lt;&gt;ROW('Списки блоков'!$C$3)),0),0)),"","Видеолаба,")
&amp;IF(ISERROR(MATCH(1,INDEX(('Списки блоков'!$D$2:$D986=B106)*(ROW('Списки блоков'!$D$2:$D986)&lt;&gt;ROW('Списки блоков'!$D$3)),0),0)),"","Декораторы,")
&amp;IF(ISERROR(MATCH(1,INDEX(('Списки блоков'!$E$2:$E986=B106)*(ROW('Списки блоков'!$E$2:$E986)&lt;&gt;ROW('Списки блоков'!$E$3)),0),0)),"","Дизайн,")
&amp;IF(ISERROR(MATCH(1,INDEX(('Списки блоков'!$F$2:$F986=B106)*(ROW('Списки блоков'!$F$2:$F986)&lt;&gt;ROW('Списки блоков'!$F$3)),0),0)),"","Досуг,")
&amp;IF(ISERROR(MATCH(1,INDEX(('Списки блоков'!$G$2:$G986=B106)*(ROW('Списки блоков'!$G$2:$G986)&lt;&gt;ROW('Списки блоков'!$G$3)),0),0)),"","Закупки,")
&amp;IF(ISERROR(MATCH(1,INDEX(('Списки блоков'!$H$2:$H986=B106)*(ROW('Списки блоков'!$H$2:$H986)&lt;&gt;ROW('Списки блоков'!$H$3)),0),0)),"","ИнфоБлок,")
&amp;IF(ISERROR(MATCH(1,INDEX(('Списки блоков'!$I$2:$I986=B106)*(ROW('Списки блоков'!$I$2:$I986)&lt;&gt;ROW('Списки блоков'!$I$3)),0),0)),"","КГ,")
&amp;IF(ISERROR(MATCH(1,INDEX(('Списки блоков'!$J$2:$J986=B106)*(ROW('Списки блоков'!$J$2:$J986)&lt;&gt;ROW('Списки блоков'!$J$3)),0),0)),"","МП,")
&amp;IF(ISERROR(MATCH(1,INDEX(('Списки блоков'!$K$2:$K986=B106)*(ROW('Списки блоков'!$K$2:$K986)&lt;&gt;ROW('Списки блоков'!$K$3)),0),0)),"","Профорги,")
&amp;IF(ISERROR(MATCH(1,INDEX(('Списки блоков'!$L$2:$L986=B106)*(ROW('Списки блоков'!$L$2:$L986)&lt;&gt;ROW('Списки блоков'!$L$3)),0),0)),"","Спонсоры,")
&amp;IF(ISERROR(MATCH(1,INDEX(('Списки блоков'!$M$2:$M986=B106)*(ROW('Списки блоков'!$M$2:$M986)&lt;&gt;ROW('Списки блоков'!$M$3)),0),0)),"","Склад,")
&amp;IF(ISERROR(MATCH(1,INDEX(('Списки блоков'!$N$2:$N986=B106)*(ROW('Списки блоков'!$N$2:$N986)&lt;&gt;ROW('Списки блоков'!$N$3)),0),0)),"","Сценаристы,")
&amp;IF(ISERROR(MATCH(1,INDEX(('Списки блоков'!$O$2:$O986=B106)*(ROW('Списки блоков'!$O$2:$O986)&lt;&gt;ROW('Списки блоков'!$O$3)),0),0)),"","Техники,")
&amp;IF(ISERROR(MATCH(1,INDEX(('Списки блоков'!$P$2:$P986=B106)*(ROW('Списки блоков'!$P$2:$P986)&lt;&gt;ROW('Списки блоков'!$P$3)),0),0)),"","УРС,")
&amp;IF(ISERROR(MATCH(1,INDEX(('Списки блоков'!$Q$2:$Q986=B106)*(ROW('Списки блоков'!$Q$2:$Q986)&lt;&gt;ROW('Списки блоков'!$Q$3)),0),0)),"","Фото,")
&amp;IF(ISERROR(MATCH(1,INDEX((#REF!=B106)*(ROW(#REF!)&lt;&gt;ROW(#REF!)),0),0)),"","ЭкоБлок,")
&amp;IF(ISERROR(MATCH(1,INDEX(('Списки блоков'!$R$2:$R986=B106)*(ROW('Списки блоков'!$R$2:$R986)&lt;&gt;ROW('Списки блоков'!$R$3)),0),0)),"","HR,")
&amp;IF(ISERROR(MATCH(1,INDEX(('Списки блоков'!$S$2:$S986=B106)*(ROW('Списки блоков'!$S$2:$S986)&lt;&gt;ROW('Списки блоков'!$S$3)),0),0)),"","Instagram,")
&amp;IF(ISERROR(MATCH(1,INDEX(('Списки блоков'!$T$2:$T986=B106)*(ROW('Списки блоков'!$T$2:$T986)&lt;&gt;ROW('Списки блоков'!$T$3)),0),0)),"","Zachёt,")
&amp;IF(ISERROR(MATCH(1,INDEX(('Списки блоков'!$U$2:$U986=B106)*(ROW('Списки блоков'!$U$2:$U986)&lt;&gt;ROW('Списки блоков'!$U$3)),0),0)),"","IT,")
&amp;IF(ISERROR(MATCH(1,INDEX(('Списки блоков'!$V$2:$V986=B106)*(ROW('Списки блоков'!$V$2:$V986)&lt;&gt;ROW('Списки блоков'!$V$3)),0),0)),"","ДК,")
</f>
        <v>Дизайн,Закупки,HR,</v>
      </c>
      <c r="F106" s="4">
        <v>8.9851577636E10</v>
      </c>
      <c r="G106" s="53" t="s">
        <v>524</v>
      </c>
      <c r="H106" s="30" t="s">
        <v>525</v>
      </c>
      <c r="I106" s="54" t="s">
        <v>526</v>
      </c>
      <c r="J106" s="7" t="s">
        <v>22</v>
      </c>
    </row>
    <row r="107">
      <c r="A107" s="55" t="s">
        <v>527</v>
      </c>
      <c r="B107" s="2" t="str">
        <f t="shared" si="5"/>
        <v>Прокофьева Екатерина</v>
      </c>
      <c r="C107" s="3">
        <v>114.0</v>
      </c>
      <c r="D107" s="2" t="s">
        <v>528</v>
      </c>
      <c r="E107" s="2" t="str">
        <f t="array" ref="E107">IF(ISERROR(MATCH(1,INDEX(('Списки блоков'!$B$2:$B986=B107)*(ROW('Списки блоков'!$B$2:$B986)&lt;&gt;ROW('Списки блоков'!$B$3)),0),0)),"","БДНС,")
&amp;IF(ISERROR(MATCH(1,INDEX(('Списки блоков'!$C$2:$C986=B107)*(ROW('Списки блоков'!$C$2:$C986)&lt;&gt;ROW('Списки блоков'!$C$3)),0),0)),"","Видеолаба,")
&amp;IF(ISERROR(MATCH(1,INDEX(('Списки блоков'!$D$2:$D986=B107)*(ROW('Списки блоков'!$D$2:$D986)&lt;&gt;ROW('Списки блоков'!$D$3)),0),0)),"","Декораторы,")
&amp;IF(ISERROR(MATCH(1,INDEX(('Списки блоков'!$E$2:$E986=B107)*(ROW('Списки блоков'!$E$2:$E986)&lt;&gt;ROW('Списки блоков'!$E$3)),0),0)),"","Дизайн,")
&amp;IF(ISERROR(MATCH(1,INDEX(('Списки блоков'!$F$2:$F986=B107)*(ROW('Списки блоков'!$F$2:$F986)&lt;&gt;ROW('Списки блоков'!$F$3)),0),0)),"","Досуг,")
&amp;IF(ISERROR(MATCH(1,INDEX(('Списки блоков'!$G$2:$G986=B107)*(ROW('Списки блоков'!$G$2:$G986)&lt;&gt;ROW('Списки блоков'!$G$3)),0),0)),"","Закупки,")
&amp;IF(ISERROR(MATCH(1,INDEX(('Списки блоков'!$H$2:$H986=B107)*(ROW('Списки блоков'!$H$2:$H986)&lt;&gt;ROW('Списки блоков'!$H$3)),0),0)),"","ИнфоБлок,")
&amp;IF(ISERROR(MATCH(1,INDEX(('Списки блоков'!$I$2:$I986=B107)*(ROW('Списки блоков'!$I$2:$I986)&lt;&gt;ROW('Списки блоков'!$I$3)),0),0)),"","КГ,")
&amp;IF(ISERROR(MATCH(1,INDEX(('Списки блоков'!$J$2:$J986=B107)*(ROW('Списки блоков'!$J$2:$J986)&lt;&gt;ROW('Списки блоков'!$J$3)),0),0)),"","МП,")
&amp;IF(ISERROR(MATCH(1,INDEX(('Списки блоков'!$K$2:$K986=B107)*(ROW('Списки блоков'!$K$2:$K986)&lt;&gt;ROW('Списки блоков'!$K$3)),0),0)),"","Профорги,")
&amp;IF(ISERROR(MATCH(1,INDEX(('Списки блоков'!$L$2:$L986=B107)*(ROW('Списки блоков'!$L$2:$L986)&lt;&gt;ROW('Списки блоков'!$L$3)),0),0)),"","Спонсоры,")
&amp;IF(ISERROR(MATCH(1,INDEX(('Списки блоков'!$M$2:$M986=B107)*(ROW('Списки блоков'!$M$2:$M986)&lt;&gt;ROW('Списки блоков'!$M$3)),0),0)),"","Склад,")
&amp;IF(ISERROR(MATCH(1,INDEX(('Списки блоков'!$N$2:$N986=B107)*(ROW('Списки блоков'!$N$2:$N986)&lt;&gt;ROW('Списки блоков'!$N$3)),0),0)),"","Сценаристы,")
&amp;IF(ISERROR(MATCH(1,INDEX(('Списки блоков'!$O$2:$O986=B107)*(ROW('Списки блоков'!$O$2:$O986)&lt;&gt;ROW('Списки блоков'!$O$3)),0),0)),"","Техники,")
&amp;IF(ISERROR(MATCH(1,INDEX(('Списки блоков'!$P$2:$P986=B107)*(ROW('Списки блоков'!$P$2:$P986)&lt;&gt;ROW('Списки блоков'!$P$3)),0),0)),"","УРС,")
&amp;IF(ISERROR(MATCH(1,INDEX(('Списки блоков'!$Q$2:$Q986=B107)*(ROW('Списки блоков'!$Q$2:$Q986)&lt;&gt;ROW('Списки блоков'!$Q$3)),0),0)),"","Фото,")
&amp;IF(ISERROR(MATCH(1,INDEX((#REF!=B107)*(ROW(#REF!)&lt;&gt;ROW(#REF!)),0),0)),"","ЭкоБлок,")
&amp;IF(ISERROR(MATCH(1,INDEX(('Списки блоков'!$R$2:$R986=B107)*(ROW('Списки блоков'!$R$2:$R986)&lt;&gt;ROW('Списки блоков'!$R$3)),0),0)),"","HR,")
&amp;IF(ISERROR(MATCH(1,INDEX(('Списки блоков'!$S$2:$S986=B107)*(ROW('Списки блоков'!$S$2:$S986)&lt;&gt;ROW('Списки блоков'!$S$3)),0),0)),"","Instagram,")
&amp;IF(ISERROR(MATCH(1,INDEX(('Списки блоков'!$T$2:$T986=B107)*(ROW('Списки блоков'!$T$2:$T986)&lt;&gt;ROW('Списки блоков'!$T$3)),0),0)),"","Zachёt,")
&amp;IF(ISERROR(MATCH(1,INDEX(('Списки блоков'!$U$2:$U986=B107)*(ROW('Списки блоков'!$U$2:$U986)&lt;&gt;ROW('Списки блоков'!$U$3)),0),0)),"","IT,")
&amp;IF(ISERROR(MATCH(1,INDEX(('Списки блоков'!$V$2:$V986=B107)*(ROW('Списки блоков'!$V$2:$V986)&lt;&gt;ROW('Списки блоков'!$V$3)),0),0)),"","ДК,")
</f>
        <v>КГ,Склад,</v>
      </c>
      <c r="F107" s="8">
        <v>8.965211007E10</v>
      </c>
      <c r="G107" s="50" t="s">
        <v>529</v>
      </c>
      <c r="H107" s="30" t="s">
        <v>530</v>
      </c>
      <c r="I107" s="51" t="s">
        <v>531</v>
      </c>
      <c r="J107" s="7" t="s">
        <v>15</v>
      </c>
    </row>
    <row r="108">
      <c r="A108" s="44" t="s">
        <v>532</v>
      </c>
      <c r="B108" s="2" t="str">
        <f t="shared" si="5"/>
        <v>Пугин Павел</v>
      </c>
      <c r="C108" s="3">
        <v>218.0</v>
      </c>
      <c r="D108" s="2" t="s">
        <v>50</v>
      </c>
      <c r="E108" s="2" t="str">
        <f t="array" ref="E108">IF(ISERROR(MATCH(1,INDEX(('Списки блоков'!$B$2:$B986=B108)*(ROW('Списки блоков'!$B$2:$B986)&lt;&gt;ROW('Списки блоков'!$B$3)),0),0)),"","БДНС,")
&amp;IF(ISERROR(MATCH(1,INDEX(('Списки блоков'!$C$2:$C986=B108)*(ROW('Списки блоков'!$C$2:$C986)&lt;&gt;ROW('Списки блоков'!$C$3)),0),0)),"","Видеолаба,")
&amp;IF(ISERROR(MATCH(1,INDEX(('Списки блоков'!$D$2:$D986=B108)*(ROW('Списки блоков'!$D$2:$D986)&lt;&gt;ROW('Списки блоков'!$D$3)),0),0)),"","Декораторы,")
&amp;IF(ISERROR(MATCH(1,INDEX(('Списки блоков'!$E$2:$E986=B108)*(ROW('Списки блоков'!$E$2:$E986)&lt;&gt;ROW('Списки блоков'!$E$3)),0),0)),"","Дизайн,")
&amp;IF(ISERROR(MATCH(1,INDEX(('Списки блоков'!$F$2:$F986=B108)*(ROW('Списки блоков'!$F$2:$F986)&lt;&gt;ROW('Списки блоков'!$F$3)),0),0)),"","Досуг,")
&amp;IF(ISERROR(MATCH(1,INDEX(('Списки блоков'!$G$2:$G986=B108)*(ROW('Списки блоков'!$G$2:$G986)&lt;&gt;ROW('Списки блоков'!$G$3)),0),0)),"","Закупки,")
&amp;IF(ISERROR(MATCH(1,INDEX(('Списки блоков'!$H$2:$H986=B108)*(ROW('Списки блоков'!$H$2:$H986)&lt;&gt;ROW('Списки блоков'!$H$3)),0),0)),"","ИнфоБлок,")
&amp;IF(ISERROR(MATCH(1,INDEX(('Списки блоков'!$I$2:$I986=B108)*(ROW('Списки блоков'!$I$2:$I986)&lt;&gt;ROW('Списки блоков'!$I$3)),0),0)),"","КГ,")
&amp;IF(ISERROR(MATCH(1,INDEX(('Списки блоков'!$J$2:$J986=B108)*(ROW('Списки блоков'!$J$2:$J986)&lt;&gt;ROW('Списки блоков'!$J$3)),0),0)),"","МП,")
&amp;IF(ISERROR(MATCH(1,INDEX(('Списки блоков'!$K$2:$K986=B108)*(ROW('Списки блоков'!$K$2:$K986)&lt;&gt;ROW('Списки блоков'!$K$3)),0),0)),"","Профорги,")
&amp;IF(ISERROR(MATCH(1,INDEX(('Списки блоков'!$L$2:$L986=B108)*(ROW('Списки блоков'!$L$2:$L986)&lt;&gt;ROW('Списки блоков'!$L$3)),0),0)),"","Спонсоры,")
&amp;IF(ISERROR(MATCH(1,INDEX(('Списки блоков'!$M$2:$M986=B108)*(ROW('Списки блоков'!$M$2:$M986)&lt;&gt;ROW('Списки блоков'!$M$3)),0),0)),"","Склад,")
&amp;IF(ISERROR(MATCH(1,INDEX(('Списки блоков'!$N$2:$N986=B108)*(ROW('Списки блоков'!$N$2:$N986)&lt;&gt;ROW('Списки блоков'!$N$3)),0),0)),"","Сценаристы,")
&amp;IF(ISERROR(MATCH(1,INDEX(('Списки блоков'!$O$2:$O986=B108)*(ROW('Списки блоков'!$O$2:$O986)&lt;&gt;ROW('Списки блоков'!$O$3)),0),0)),"","Техники,")
&amp;IF(ISERROR(MATCH(1,INDEX(('Списки блоков'!$P$2:$P986=B108)*(ROW('Списки блоков'!$P$2:$P986)&lt;&gt;ROW('Списки блоков'!$P$3)),0),0)),"","УРС,")
&amp;IF(ISERROR(MATCH(1,INDEX(('Списки блоков'!$Q$2:$Q986=B108)*(ROW('Списки блоков'!$Q$2:$Q986)&lt;&gt;ROW('Списки блоков'!$Q$3)),0),0)),"","Фото,")
&amp;IF(ISERROR(MATCH(1,INDEX((#REF!=B108)*(ROW(#REF!)&lt;&gt;ROW(#REF!)),0),0)),"","ЭкоБлок,")
&amp;IF(ISERROR(MATCH(1,INDEX(('Списки блоков'!$R$2:$R986=B108)*(ROW('Списки блоков'!$R$2:$R986)&lt;&gt;ROW('Списки блоков'!$R$3)),0),0)),"","HR,")
&amp;IF(ISERROR(MATCH(1,INDEX(('Списки блоков'!$S$2:$S986=B108)*(ROW('Списки блоков'!$S$2:$S986)&lt;&gt;ROW('Списки блоков'!$S$3)),0),0)),"","Instagram,")
&amp;IF(ISERROR(MATCH(1,INDEX(('Списки блоков'!$T$2:$T986=B108)*(ROW('Списки блоков'!$T$2:$T986)&lt;&gt;ROW('Списки блоков'!$T$3)),0),0)),"","Zachёt,")
&amp;IF(ISERROR(MATCH(1,INDEX(('Списки блоков'!$U$2:$U986=B108)*(ROW('Списки блоков'!$U$2:$U986)&lt;&gt;ROW('Списки блоков'!$U$3)),0),0)),"","IT,")
&amp;IF(ISERROR(MATCH(1,INDEX(('Списки блоков'!$V$2:$V986=B108)*(ROW('Списки блоков'!$V$2:$V986)&lt;&gt;ROW('Списки блоков'!$V$3)),0),0)),"","ДК,")
</f>
        <v>Техники,УРС,</v>
      </c>
      <c r="F108" s="8">
        <v>8.9058688282E10</v>
      </c>
      <c r="G108" s="56" t="s">
        <v>533</v>
      </c>
      <c r="H108" s="44" t="s">
        <v>534</v>
      </c>
      <c r="I108" s="46" t="s">
        <v>535</v>
      </c>
      <c r="J108" s="7" t="s">
        <v>22</v>
      </c>
    </row>
    <row r="109">
      <c r="A109" s="30" t="s">
        <v>536</v>
      </c>
      <c r="B109" s="2" t="str">
        <f t="shared" si="5"/>
        <v>Разумова Любовь</v>
      </c>
      <c r="C109" s="3">
        <v>320.0</v>
      </c>
      <c r="D109" s="2" t="s">
        <v>537</v>
      </c>
      <c r="E109" s="2" t="str">
        <f t="array" ref="E109">IF(ISERROR(MATCH(1,INDEX(('Списки блоков'!$B$2:$B986=B109)*(ROW('Списки блоков'!$B$2:$B986)&lt;&gt;ROW('Списки блоков'!$B$3)),0),0)),"","БДНС,")
&amp;IF(ISERROR(MATCH(1,INDEX(('Списки блоков'!$C$2:$C986=B109)*(ROW('Списки блоков'!$C$2:$C986)&lt;&gt;ROW('Списки блоков'!$C$3)),0),0)),"","Видеолаба,")
&amp;IF(ISERROR(MATCH(1,INDEX(('Списки блоков'!$D$2:$D986=B109)*(ROW('Списки блоков'!$D$2:$D986)&lt;&gt;ROW('Списки блоков'!$D$3)),0),0)),"","Декораторы,")
&amp;IF(ISERROR(MATCH(1,INDEX(('Списки блоков'!$E$2:$E986=B109)*(ROW('Списки блоков'!$E$2:$E986)&lt;&gt;ROW('Списки блоков'!$E$3)),0),0)),"","Дизайн,")
&amp;IF(ISERROR(MATCH(1,INDEX(('Списки блоков'!$F$2:$F986=B109)*(ROW('Списки блоков'!$F$2:$F986)&lt;&gt;ROW('Списки блоков'!$F$3)),0),0)),"","Досуг,")
&amp;IF(ISERROR(MATCH(1,INDEX(('Списки блоков'!$G$2:$G986=B109)*(ROW('Списки блоков'!$G$2:$G986)&lt;&gt;ROW('Списки блоков'!$G$3)),0),0)),"","Закупки,")
&amp;IF(ISERROR(MATCH(1,INDEX(('Списки блоков'!$H$2:$H986=B109)*(ROW('Списки блоков'!$H$2:$H986)&lt;&gt;ROW('Списки блоков'!$H$3)),0),0)),"","ИнфоБлок,")
&amp;IF(ISERROR(MATCH(1,INDEX(('Списки блоков'!$I$2:$I986=B109)*(ROW('Списки блоков'!$I$2:$I986)&lt;&gt;ROW('Списки блоков'!$I$3)),0),0)),"","КГ,")
&amp;IF(ISERROR(MATCH(1,INDEX(('Списки блоков'!$J$2:$J986=B109)*(ROW('Списки блоков'!$J$2:$J986)&lt;&gt;ROW('Списки блоков'!$J$3)),0),0)),"","МП,")
&amp;IF(ISERROR(MATCH(1,INDEX(('Списки блоков'!$K$2:$K986=B109)*(ROW('Списки блоков'!$K$2:$K986)&lt;&gt;ROW('Списки блоков'!$K$3)),0),0)),"","Профорги,")
&amp;IF(ISERROR(MATCH(1,INDEX(('Списки блоков'!$L$2:$L986=B109)*(ROW('Списки блоков'!$L$2:$L986)&lt;&gt;ROW('Списки блоков'!$L$3)),0),0)),"","Спонсоры,")
&amp;IF(ISERROR(MATCH(1,INDEX(('Списки блоков'!$M$2:$M986=B109)*(ROW('Списки блоков'!$M$2:$M986)&lt;&gt;ROW('Списки блоков'!$M$3)),0),0)),"","Склад,")
&amp;IF(ISERROR(MATCH(1,INDEX(('Списки блоков'!$N$2:$N986=B109)*(ROW('Списки блоков'!$N$2:$N986)&lt;&gt;ROW('Списки блоков'!$N$3)),0),0)),"","Сценаристы,")
&amp;IF(ISERROR(MATCH(1,INDEX(('Списки блоков'!$O$2:$O986=B109)*(ROW('Списки блоков'!$O$2:$O986)&lt;&gt;ROW('Списки блоков'!$O$3)),0),0)),"","Техники,")
&amp;IF(ISERROR(MATCH(1,INDEX(('Списки блоков'!$P$2:$P986=B109)*(ROW('Списки блоков'!$P$2:$P986)&lt;&gt;ROW('Списки блоков'!$P$3)),0),0)),"","УРС,")
&amp;IF(ISERROR(MATCH(1,INDEX(('Списки блоков'!$Q$2:$Q986=B109)*(ROW('Списки блоков'!$Q$2:$Q986)&lt;&gt;ROW('Списки блоков'!$Q$3)),0),0)),"","Фото,")
&amp;IF(ISERROR(MATCH(1,INDEX((#REF!=B109)*(ROW(#REF!)&lt;&gt;ROW(#REF!)),0),0)),"","ЭкоБлок,")
&amp;IF(ISERROR(MATCH(1,INDEX(('Списки блоков'!$R$2:$R986=B109)*(ROW('Списки блоков'!$R$2:$R986)&lt;&gt;ROW('Списки блоков'!$R$3)),0),0)),"","HR,")
&amp;IF(ISERROR(MATCH(1,INDEX(('Списки блоков'!$S$2:$S986=B109)*(ROW('Списки блоков'!$S$2:$S986)&lt;&gt;ROW('Списки блоков'!$S$3)),0),0)),"","Instagram,")
&amp;IF(ISERROR(MATCH(1,INDEX(('Списки блоков'!$T$2:$T986=B109)*(ROW('Списки блоков'!$T$2:$T986)&lt;&gt;ROW('Списки блоков'!$T$3)),0),0)),"","Zachёt,")
&amp;IF(ISERROR(MATCH(1,INDEX(('Списки блоков'!$U$2:$U986=B109)*(ROW('Списки блоков'!$U$2:$U986)&lt;&gt;ROW('Списки блоков'!$U$3)),0),0)),"","IT,")
&amp;IF(ISERROR(MATCH(1,INDEX(('Списки блоков'!$V$2:$V986=B109)*(ROW('Списки блоков'!$V$2:$V986)&lt;&gt;ROW('Списки блоков'!$V$3)),0),0)),"","ДК,")
</f>
        <v/>
      </c>
      <c r="F109" s="3">
        <v>8.9150983953E10</v>
      </c>
      <c r="G109" s="50" t="s">
        <v>538</v>
      </c>
      <c r="H109" s="33" t="s">
        <v>539</v>
      </c>
      <c r="I109" s="51" t="s">
        <v>540</v>
      </c>
      <c r="J109" s="7" t="s">
        <v>22</v>
      </c>
    </row>
    <row r="110">
      <c r="A110" s="57" t="s">
        <v>541</v>
      </c>
      <c r="B110" s="2" t="str">
        <f t="shared" si="5"/>
        <v>Ратова Ярослава</v>
      </c>
      <c r="C110" s="3">
        <v>391.0</v>
      </c>
      <c r="D110" s="2" t="s">
        <v>209</v>
      </c>
      <c r="E110" s="2" t="str">
        <f t="array" ref="E110">IF(ISERROR(MATCH(1,INDEX(('Списки блоков'!$B$2:$B986=B110)*(ROW('Списки блоков'!$B$2:$B986)&lt;&gt;ROW('Списки блоков'!$B$3)),0),0)),"","БДНС,")
&amp;IF(ISERROR(MATCH(1,INDEX(('Списки блоков'!$C$2:$C986=B110)*(ROW('Списки блоков'!$C$2:$C986)&lt;&gt;ROW('Списки блоков'!$C$3)),0),0)),"","Видеолаба,")
&amp;IF(ISERROR(MATCH(1,INDEX(('Списки блоков'!$D$2:$D986=B110)*(ROW('Списки блоков'!$D$2:$D986)&lt;&gt;ROW('Списки блоков'!$D$3)),0),0)),"","Декораторы,")
&amp;IF(ISERROR(MATCH(1,INDEX(('Списки блоков'!$E$2:$E986=B110)*(ROW('Списки блоков'!$E$2:$E986)&lt;&gt;ROW('Списки блоков'!$E$3)),0),0)),"","Дизайн,")
&amp;IF(ISERROR(MATCH(1,INDEX(('Списки блоков'!$F$2:$F986=B110)*(ROW('Списки блоков'!$F$2:$F986)&lt;&gt;ROW('Списки блоков'!$F$3)),0),0)),"","Досуг,")
&amp;IF(ISERROR(MATCH(1,INDEX(('Списки блоков'!$G$2:$G986=B110)*(ROW('Списки блоков'!$G$2:$G986)&lt;&gt;ROW('Списки блоков'!$G$3)),0),0)),"","Закупки,")
&amp;IF(ISERROR(MATCH(1,INDEX(('Списки блоков'!$H$2:$H986=B110)*(ROW('Списки блоков'!$H$2:$H986)&lt;&gt;ROW('Списки блоков'!$H$3)),0),0)),"","ИнфоБлок,")
&amp;IF(ISERROR(MATCH(1,INDEX(('Списки блоков'!$I$2:$I986=B110)*(ROW('Списки блоков'!$I$2:$I986)&lt;&gt;ROW('Списки блоков'!$I$3)),0),0)),"","КГ,")
&amp;IF(ISERROR(MATCH(1,INDEX(('Списки блоков'!$J$2:$J986=B110)*(ROW('Списки блоков'!$J$2:$J986)&lt;&gt;ROW('Списки блоков'!$J$3)),0),0)),"","МП,")
&amp;IF(ISERROR(MATCH(1,INDEX(('Списки блоков'!$K$2:$K986=B110)*(ROW('Списки блоков'!$K$2:$K986)&lt;&gt;ROW('Списки блоков'!$K$3)),0),0)),"","Профорги,")
&amp;IF(ISERROR(MATCH(1,INDEX(('Списки блоков'!$L$2:$L986=B110)*(ROW('Списки блоков'!$L$2:$L986)&lt;&gt;ROW('Списки блоков'!$L$3)),0),0)),"","Спонсоры,")
&amp;IF(ISERROR(MATCH(1,INDEX(('Списки блоков'!$M$2:$M986=B110)*(ROW('Списки блоков'!$M$2:$M986)&lt;&gt;ROW('Списки блоков'!$M$3)),0),0)),"","Склад,")
&amp;IF(ISERROR(MATCH(1,INDEX(('Списки блоков'!$N$2:$N986=B110)*(ROW('Списки блоков'!$N$2:$N986)&lt;&gt;ROW('Списки блоков'!$N$3)),0),0)),"","Сценаристы,")
&amp;IF(ISERROR(MATCH(1,INDEX(('Списки блоков'!$O$2:$O986=B110)*(ROW('Списки блоков'!$O$2:$O986)&lt;&gt;ROW('Списки блоков'!$O$3)),0),0)),"","Техники,")
&amp;IF(ISERROR(MATCH(1,INDEX(('Списки блоков'!$P$2:$P986=B110)*(ROW('Списки блоков'!$P$2:$P986)&lt;&gt;ROW('Списки блоков'!$P$3)),0),0)),"","УРС,")
&amp;IF(ISERROR(MATCH(1,INDEX(('Списки блоков'!$Q$2:$Q986=B110)*(ROW('Списки блоков'!$Q$2:$Q986)&lt;&gt;ROW('Списки блоков'!$Q$3)),0),0)),"","Фото,")
&amp;IF(ISERROR(MATCH(1,INDEX((#REF!=B110)*(ROW(#REF!)&lt;&gt;ROW(#REF!)),0),0)),"","ЭкоБлок,")
&amp;IF(ISERROR(MATCH(1,INDEX(('Списки блоков'!$R$2:$R986=B110)*(ROW('Списки блоков'!$R$2:$R986)&lt;&gt;ROW('Списки блоков'!$R$3)),0),0)),"","HR,")
&amp;IF(ISERROR(MATCH(1,INDEX(('Списки блоков'!$S$2:$S986=B110)*(ROW('Списки блоков'!$S$2:$S986)&lt;&gt;ROW('Списки блоков'!$S$3)),0),0)),"","Instagram,")
&amp;IF(ISERROR(MATCH(1,INDEX(('Списки блоков'!$T$2:$T986=B110)*(ROW('Списки блоков'!$T$2:$T986)&lt;&gt;ROW('Списки блоков'!$T$3)),0),0)),"","Zachёt,")
&amp;IF(ISERROR(MATCH(1,INDEX(('Списки блоков'!$U$2:$U986=B110)*(ROW('Списки блоков'!$U$2:$U986)&lt;&gt;ROW('Списки блоков'!$U$3)),0),0)),"","IT,")
&amp;IF(ISERROR(MATCH(1,INDEX(('Списки блоков'!$V$2:$V986=B110)*(ROW('Списки блоков'!$V$2:$V986)&lt;&gt;ROW('Списки блоков'!$V$3)),0),0)),"","ДК,")
</f>
        <v>КГ,Сценаристы,</v>
      </c>
      <c r="F110" s="4">
        <v>8.9776810235E10</v>
      </c>
      <c r="G110" s="56" t="s">
        <v>542</v>
      </c>
      <c r="H110" s="44" t="s">
        <v>543</v>
      </c>
      <c r="I110" s="46" t="s">
        <v>544</v>
      </c>
      <c r="J110" s="7" t="s">
        <v>22</v>
      </c>
    </row>
    <row r="111">
      <c r="A111" s="30" t="s">
        <v>545</v>
      </c>
      <c r="B111" s="2" t="str">
        <f t="shared" si="5"/>
        <v>Ренкас Владислав</v>
      </c>
      <c r="C111" s="3">
        <v>321.0</v>
      </c>
      <c r="D111" s="2" t="s">
        <v>546</v>
      </c>
      <c r="E111" s="2" t="str">
        <f t="array" ref="E111">IF(ISERROR(MATCH(1,INDEX(('Списки блоков'!$B$2:$B986=B111)*(ROW('Списки блоков'!$B$2:$B986)&lt;&gt;ROW('Списки блоков'!$B$3)),0),0)),"","БДНС,")
&amp;IF(ISERROR(MATCH(1,INDEX(('Списки блоков'!$C$2:$C986=B111)*(ROW('Списки блоков'!$C$2:$C986)&lt;&gt;ROW('Списки блоков'!$C$3)),0),0)),"","Видеолаба,")
&amp;IF(ISERROR(MATCH(1,INDEX(('Списки блоков'!$D$2:$D986=B111)*(ROW('Списки блоков'!$D$2:$D986)&lt;&gt;ROW('Списки блоков'!$D$3)),0),0)),"","Декораторы,")
&amp;IF(ISERROR(MATCH(1,INDEX(('Списки блоков'!$E$2:$E986=B111)*(ROW('Списки блоков'!$E$2:$E986)&lt;&gt;ROW('Списки блоков'!$E$3)),0),0)),"","Дизайн,")
&amp;IF(ISERROR(MATCH(1,INDEX(('Списки блоков'!$F$2:$F986=B111)*(ROW('Списки блоков'!$F$2:$F986)&lt;&gt;ROW('Списки блоков'!$F$3)),0),0)),"","Досуг,")
&amp;IF(ISERROR(MATCH(1,INDEX(('Списки блоков'!$G$2:$G986=B111)*(ROW('Списки блоков'!$G$2:$G986)&lt;&gt;ROW('Списки блоков'!$G$3)),0),0)),"","Закупки,")
&amp;IF(ISERROR(MATCH(1,INDEX(('Списки блоков'!$H$2:$H986=B111)*(ROW('Списки блоков'!$H$2:$H986)&lt;&gt;ROW('Списки блоков'!$H$3)),0),0)),"","ИнфоБлок,")
&amp;IF(ISERROR(MATCH(1,INDEX(('Списки блоков'!$I$2:$I986=B111)*(ROW('Списки блоков'!$I$2:$I986)&lt;&gt;ROW('Списки блоков'!$I$3)),0),0)),"","КГ,")
&amp;IF(ISERROR(MATCH(1,INDEX(('Списки блоков'!$J$2:$J986=B111)*(ROW('Списки блоков'!$J$2:$J986)&lt;&gt;ROW('Списки блоков'!$J$3)),0),0)),"","МП,")
&amp;IF(ISERROR(MATCH(1,INDEX(('Списки блоков'!$K$2:$K986=B111)*(ROW('Списки блоков'!$K$2:$K986)&lt;&gt;ROW('Списки блоков'!$K$3)),0),0)),"","Профорги,")
&amp;IF(ISERROR(MATCH(1,INDEX(('Списки блоков'!$L$2:$L986=B111)*(ROW('Списки блоков'!$L$2:$L986)&lt;&gt;ROW('Списки блоков'!$L$3)),0),0)),"","Спонсоры,")
&amp;IF(ISERROR(MATCH(1,INDEX(('Списки блоков'!$M$2:$M986=B111)*(ROW('Списки блоков'!$M$2:$M986)&lt;&gt;ROW('Списки блоков'!$M$3)),0),0)),"","Склад,")
&amp;IF(ISERROR(MATCH(1,INDEX(('Списки блоков'!$N$2:$N986=B111)*(ROW('Списки блоков'!$N$2:$N986)&lt;&gt;ROW('Списки блоков'!$N$3)),0),0)),"","Сценаристы,")
&amp;IF(ISERROR(MATCH(1,INDEX(('Списки блоков'!$O$2:$O986=B111)*(ROW('Списки блоков'!$O$2:$O986)&lt;&gt;ROW('Списки блоков'!$O$3)),0),0)),"","Техники,")
&amp;IF(ISERROR(MATCH(1,INDEX(('Списки блоков'!$P$2:$P986=B111)*(ROW('Списки блоков'!$P$2:$P986)&lt;&gt;ROW('Списки блоков'!$P$3)),0),0)),"","УРС,")
&amp;IF(ISERROR(MATCH(1,INDEX(('Списки блоков'!$Q$2:$Q986=B111)*(ROW('Списки блоков'!$Q$2:$Q986)&lt;&gt;ROW('Списки блоков'!$Q$3)),0),0)),"","Фото,")
&amp;IF(ISERROR(MATCH(1,INDEX((#REF!=B111)*(ROW(#REF!)&lt;&gt;ROW(#REF!)),0),0)),"","ЭкоБлок,")
&amp;IF(ISERROR(MATCH(1,INDEX(('Списки блоков'!$R$2:$R986=B111)*(ROW('Списки блоков'!$R$2:$R986)&lt;&gt;ROW('Списки блоков'!$R$3)),0),0)),"","HR,")
&amp;IF(ISERROR(MATCH(1,INDEX(('Списки блоков'!$S$2:$S986=B111)*(ROW('Списки блоков'!$S$2:$S986)&lt;&gt;ROW('Списки блоков'!$S$3)),0),0)),"","Instagram,")
&amp;IF(ISERROR(MATCH(1,INDEX(('Списки блоков'!$T$2:$T986=B111)*(ROW('Списки блоков'!$T$2:$T986)&lt;&gt;ROW('Списки блоков'!$T$3)),0),0)),"","Zachёt,")
&amp;IF(ISERROR(MATCH(1,INDEX(('Списки блоков'!$U$2:$U986=B111)*(ROW('Списки блоков'!$U$2:$U986)&lt;&gt;ROW('Списки блоков'!$U$3)),0),0)),"","IT,")
&amp;IF(ISERROR(MATCH(1,INDEX(('Списки блоков'!$V$2:$V986=B111)*(ROW('Списки блоков'!$V$2:$V986)&lt;&gt;ROW('Списки блоков'!$V$3)),0),0)),"","ДК,")
</f>
        <v>Досуг,Спонсоры,Склад,Фото,ДК,</v>
      </c>
      <c r="F111" s="8">
        <v>8.9165199242E10</v>
      </c>
      <c r="G111" s="50" t="s">
        <v>547</v>
      </c>
      <c r="H111" s="30" t="s">
        <v>548</v>
      </c>
      <c r="I111" s="51" t="s">
        <v>549</v>
      </c>
      <c r="J111" s="7" t="s">
        <v>22</v>
      </c>
    </row>
    <row r="112">
      <c r="A112" s="44" t="s">
        <v>550</v>
      </c>
      <c r="B112" s="2" t="str">
        <f t="shared" si="5"/>
        <v>Ровенский Михаил</v>
      </c>
      <c r="C112" s="3">
        <v>320.0</v>
      </c>
      <c r="D112" s="2" t="s">
        <v>551</v>
      </c>
      <c r="E112" s="2" t="str">
        <f t="array" ref="E112">IF(ISERROR(MATCH(1,INDEX(('Списки блоков'!$B$2:$B986=B112)*(ROW('Списки блоков'!$B$2:$B986)&lt;&gt;ROW('Списки блоков'!$B$3)),0),0)),"","БДНС,")
&amp;IF(ISERROR(MATCH(1,INDEX(('Списки блоков'!$C$2:$C986=B112)*(ROW('Списки блоков'!$C$2:$C986)&lt;&gt;ROW('Списки блоков'!$C$3)),0),0)),"","Видеолаба,")
&amp;IF(ISERROR(MATCH(1,INDEX(('Списки блоков'!$D$2:$D986=B112)*(ROW('Списки блоков'!$D$2:$D986)&lt;&gt;ROW('Списки блоков'!$D$3)),0),0)),"","Декораторы,")
&amp;IF(ISERROR(MATCH(1,INDEX(('Списки блоков'!$E$2:$E986=B112)*(ROW('Списки блоков'!$E$2:$E986)&lt;&gt;ROW('Списки блоков'!$E$3)),0),0)),"","Дизайн,")
&amp;IF(ISERROR(MATCH(1,INDEX(('Списки блоков'!$F$2:$F986=B112)*(ROW('Списки блоков'!$F$2:$F986)&lt;&gt;ROW('Списки блоков'!$F$3)),0),0)),"","Досуг,")
&amp;IF(ISERROR(MATCH(1,INDEX(('Списки блоков'!$G$2:$G986=B112)*(ROW('Списки блоков'!$G$2:$G986)&lt;&gt;ROW('Списки блоков'!$G$3)),0),0)),"","Закупки,")
&amp;IF(ISERROR(MATCH(1,INDEX(('Списки блоков'!$H$2:$H986=B112)*(ROW('Списки блоков'!$H$2:$H986)&lt;&gt;ROW('Списки блоков'!$H$3)),0),0)),"","ИнфоБлок,")
&amp;IF(ISERROR(MATCH(1,INDEX(('Списки блоков'!$I$2:$I986=B112)*(ROW('Списки блоков'!$I$2:$I986)&lt;&gt;ROW('Списки блоков'!$I$3)),0),0)),"","КГ,")
&amp;IF(ISERROR(MATCH(1,INDEX(('Списки блоков'!$J$2:$J986=B112)*(ROW('Списки блоков'!$J$2:$J986)&lt;&gt;ROW('Списки блоков'!$J$3)),0),0)),"","МП,")
&amp;IF(ISERROR(MATCH(1,INDEX(('Списки блоков'!$K$2:$K986=B112)*(ROW('Списки блоков'!$K$2:$K986)&lt;&gt;ROW('Списки блоков'!$K$3)),0),0)),"","Профорги,")
&amp;IF(ISERROR(MATCH(1,INDEX(('Списки блоков'!$L$2:$L986=B112)*(ROW('Списки блоков'!$L$2:$L986)&lt;&gt;ROW('Списки блоков'!$L$3)),0),0)),"","Спонсоры,")
&amp;IF(ISERROR(MATCH(1,INDEX(('Списки блоков'!$M$2:$M986=B112)*(ROW('Списки блоков'!$M$2:$M986)&lt;&gt;ROW('Списки блоков'!$M$3)),0),0)),"","Склад,")
&amp;IF(ISERROR(MATCH(1,INDEX(('Списки блоков'!$N$2:$N986=B112)*(ROW('Списки блоков'!$N$2:$N986)&lt;&gt;ROW('Списки блоков'!$N$3)),0),0)),"","Сценаристы,")
&amp;IF(ISERROR(MATCH(1,INDEX(('Списки блоков'!$O$2:$O986=B112)*(ROW('Списки блоков'!$O$2:$O986)&lt;&gt;ROW('Списки блоков'!$O$3)),0),0)),"","Техники,")
&amp;IF(ISERROR(MATCH(1,INDEX(('Списки блоков'!$P$2:$P986=B112)*(ROW('Списки блоков'!$P$2:$P986)&lt;&gt;ROW('Списки блоков'!$P$3)),0),0)),"","УРС,")
&amp;IF(ISERROR(MATCH(1,INDEX(('Списки блоков'!$Q$2:$Q986=B112)*(ROW('Списки блоков'!$Q$2:$Q986)&lt;&gt;ROW('Списки блоков'!$Q$3)),0),0)),"","Фото,")
&amp;IF(ISERROR(MATCH(1,INDEX((#REF!=B112)*(ROW(#REF!)&lt;&gt;ROW(#REF!)),0),0)),"","ЭкоБлок,")
&amp;IF(ISERROR(MATCH(1,INDEX(('Списки блоков'!$R$2:$R986=B112)*(ROW('Списки блоков'!$R$2:$R986)&lt;&gt;ROW('Списки блоков'!$R$3)),0),0)),"","HR,")
&amp;IF(ISERROR(MATCH(1,INDEX(('Списки блоков'!$S$2:$S986=B112)*(ROW('Списки блоков'!$S$2:$S986)&lt;&gt;ROW('Списки блоков'!$S$3)),0),0)),"","Instagram,")
&amp;IF(ISERROR(MATCH(1,INDEX(('Списки блоков'!$T$2:$T986=B112)*(ROW('Списки блоков'!$T$2:$T986)&lt;&gt;ROW('Списки блоков'!$T$3)),0),0)),"","Zachёt,")
&amp;IF(ISERROR(MATCH(1,INDEX(('Списки блоков'!$U$2:$U986=B112)*(ROW('Списки блоков'!$U$2:$U986)&lt;&gt;ROW('Списки блоков'!$U$3)),0),0)),"","IT,")
&amp;IF(ISERROR(MATCH(1,INDEX(('Списки блоков'!$V$2:$V986=B112)*(ROW('Списки блоков'!$V$2:$V986)&lt;&gt;ROW('Списки блоков'!$V$3)),0),0)),"","ДК,")
</f>
        <v>Видеолаба,IT,</v>
      </c>
      <c r="F112" s="4">
        <v>8.985471627E10</v>
      </c>
      <c r="G112" s="56" t="s">
        <v>552</v>
      </c>
      <c r="H112" s="44" t="s">
        <v>552</v>
      </c>
      <c r="I112" s="46" t="s">
        <v>553</v>
      </c>
      <c r="J112" s="7" t="s">
        <v>22</v>
      </c>
    </row>
    <row r="113">
      <c r="A113" s="58" t="s">
        <v>554</v>
      </c>
      <c r="B113" s="2" t="str">
        <f t="shared" si="5"/>
        <v>Рогожкина Алина</v>
      </c>
      <c r="C113" s="3">
        <v>101.0</v>
      </c>
      <c r="D113" s="2" t="s">
        <v>555</v>
      </c>
      <c r="E113" s="2" t="str">
        <f t="array" ref="E113">IF(ISERROR(MATCH(1,INDEX(('Списки блоков'!$B$2:$B986=B113)*(ROW('Списки блоков'!$B$2:$B986)&lt;&gt;ROW('Списки блоков'!$B$3)),0),0)),"","БДНС,")
&amp;IF(ISERROR(MATCH(1,INDEX(('Списки блоков'!$C$2:$C986=B113)*(ROW('Списки блоков'!$C$2:$C986)&lt;&gt;ROW('Списки блоков'!$C$3)),0),0)),"","Видеолаба,")
&amp;IF(ISERROR(MATCH(1,INDEX(('Списки блоков'!$D$2:$D986=B113)*(ROW('Списки блоков'!$D$2:$D986)&lt;&gt;ROW('Списки блоков'!$D$3)),0),0)),"","Декораторы,")
&amp;IF(ISERROR(MATCH(1,INDEX(('Списки блоков'!$E$2:$E986=B113)*(ROW('Списки блоков'!$E$2:$E986)&lt;&gt;ROW('Списки блоков'!$E$3)),0),0)),"","Дизайн,")
&amp;IF(ISERROR(MATCH(1,INDEX(('Списки блоков'!$F$2:$F986=B113)*(ROW('Списки блоков'!$F$2:$F986)&lt;&gt;ROW('Списки блоков'!$F$3)),0),0)),"","Досуг,")
&amp;IF(ISERROR(MATCH(1,INDEX(('Списки блоков'!$G$2:$G986=B113)*(ROW('Списки блоков'!$G$2:$G986)&lt;&gt;ROW('Списки блоков'!$G$3)),0),0)),"","Закупки,")
&amp;IF(ISERROR(MATCH(1,INDEX(('Списки блоков'!$H$2:$H986=B113)*(ROW('Списки блоков'!$H$2:$H986)&lt;&gt;ROW('Списки блоков'!$H$3)),0),0)),"","ИнфоБлок,")
&amp;IF(ISERROR(MATCH(1,INDEX(('Списки блоков'!$I$2:$I986=B113)*(ROW('Списки блоков'!$I$2:$I986)&lt;&gt;ROW('Списки блоков'!$I$3)),0),0)),"","КГ,")
&amp;IF(ISERROR(MATCH(1,INDEX(('Списки блоков'!$J$2:$J986=B113)*(ROW('Списки блоков'!$J$2:$J986)&lt;&gt;ROW('Списки блоков'!$J$3)),0),0)),"","МП,")
&amp;IF(ISERROR(MATCH(1,INDEX(('Списки блоков'!$K$2:$K986=B113)*(ROW('Списки блоков'!$K$2:$K986)&lt;&gt;ROW('Списки блоков'!$K$3)),0),0)),"","Профорги,")
&amp;IF(ISERROR(MATCH(1,INDEX(('Списки блоков'!$L$2:$L986=B113)*(ROW('Списки блоков'!$L$2:$L986)&lt;&gt;ROW('Списки блоков'!$L$3)),0),0)),"","Спонсоры,")
&amp;IF(ISERROR(MATCH(1,INDEX(('Списки блоков'!$M$2:$M986=B113)*(ROW('Списки блоков'!$M$2:$M986)&lt;&gt;ROW('Списки блоков'!$M$3)),0),0)),"","Склад,")
&amp;IF(ISERROR(MATCH(1,INDEX(('Списки блоков'!$N$2:$N986=B113)*(ROW('Списки блоков'!$N$2:$N986)&lt;&gt;ROW('Списки блоков'!$N$3)),0),0)),"","Сценаристы,")
&amp;IF(ISERROR(MATCH(1,INDEX(('Списки блоков'!$O$2:$O986=B113)*(ROW('Списки блоков'!$O$2:$O986)&lt;&gt;ROW('Списки блоков'!$O$3)),0),0)),"","Техники,")
&amp;IF(ISERROR(MATCH(1,INDEX(('Списки блоков'!$P$2:$P986=B113)*(ROW('Списки блоков'!$P$2:$P986)&lt;&gt;ROW('Списки блоков'!$P$3)),0),0)),"","УРС,")
&amp;IF(ISERROR(MATCH(1,INDEX(('Списки блоков'!$Q$2:$Q986=B113)*(ROW('Списки блоков'!$Q$2:$Q986)&lt;&gt;ROW('Списки блоков'!$Q$3)),0),0)),"","Фото,")
&amp;IF(ISERROR(MATCH(1,INDEX((#REF!=B113)*(ROW(#REF!)&lt;&gt;ROW(#REF!)),0),0)),"","ЭкоБлок,")
&amp;IF(ISERROR(MATCH(1,INDEX(('Списки блоков'!$R$2:$R986=B113)*(ROW('Списки блоков'!$R$2:$R986)&lt;&gt;ROW('Списки блоков'!$R$3)),0),0)),"","HR,")
&amp;IF(ISERROR(MATCH(1,INDEX(('Списки блоков'!$S$2:$S986=B113)*(ROW('Списки блоков'!$S$2:$S986)&lt;&gt;ROW('Списки блоков'!$S$3)),0),0)),"","Instagram,")
&amp;IF(ISERROR(MATCH(1,INDEX(('Списки блоков'!$T$2:$T986=B113)*(ROW('Списки блоков'!$T$2:$T986)&lt;&gt;ROW('Списки блоков'!$T$3)),0),0)),"","Zachёt,")
&amp;IF(ISERROR(MATCH(1,INDEX(('Списки блоков'!$U$2:$U986=B113)*(ROW('Списки блоков'!$U$2:$U986)&lt;&gt;ROW('Списки блоков'!$U$3)),0),0)),"","IT,")
&amp;IF(ISERROR(MATCH(1,INDEX(('Списки блоков'!$V$2:$V986=B113)*(ROW('Списки блоков'!$V$2:$V986)&lt;&gt;ROW('Списки блоков'!$V$3)),0),0)),"","ДК,")
</f>
        <v>Спонсоры,IT,ДК,</v>
      </c>
      <c r="F113" s="4">
        <v>8.9164861469E10</v>
      </c>
      <c r="G113" s="53" t="s">
        <v>556</v>
      </c>
      <c r="H113" s="30" t="s">
        <v>557</v>
      </c>
      <c r="I113" s="51" t="s">
        <v>558</v>
      </c>
      <c r="J113" s="7" t="s">
        <v>22</v>
      </c>
    </row>
    <row r="114">
      <c r="A114" s="22" t="s">
        <v>559</v>
      </c>
      <c r="B114" s="2" t="str">
        <f t="shared" si="5"/>
        <v>Румянцева Мария</v>
      </c>
      <c r="C114" s="9">
        <v>105.0</v>
      </c>
      <c r="D114" s="10" t="s">
        <v>50</v>
      </c>
      <c r="E114" s="2" t="str">
        <f t="array" ref="E114">IF(ISERROR(MATCH(1,INDEX(('Списки блоков'!$B$2:$B986=B114)*(ROW('Списки блоков'!$B$2:$B986)&lt;&gt;ROW('Списки блоков'!$B$3)),0),0)),"","БДНС,")
&amp;IF(ISERROR(MATCH(1,INDEX(('Списки блоков'!$C$2:$C986=B114)*(ROW('Списки блоков'!$C$2:$C986)&lt;&gt;ROW('Списки блоков'!$C$3)),0),0)),"","Видеолаба,")
&amp;IF(ISERROR(MATCH(1,INDEX(('Списки блоков'!$D$2:$D986=B114)*(ROW('Списки блоков'!$D$2:$D986)&lt;&gt;ROW('Списки блоков'!$D$3)),0),0)),"","Декораторы,")
&amp;IF(ISERROR(MATCH(1,INDEX(('Списки блоков'!$E$2:$E986=B114)*(ROW('Списки блоков'!$E$2:$E986)&lt;&gt;ROW('Списки блоков'!$E$3)),0),0)),"","Дизайн,")
&amp;IF(ISERROR(MATCH(1,INDEX(('Списки блоков'!$F$2:$F986=B114)*(ROW('Списки блоков'!$F$2:$F986)&lt;&gt;ROW('Списки блоков'!$F$3)),0),0)),"","Досуг,")
&amp;IF(ISERROR(MATCH(1,INDEX(('Списки блоков'!$G$2:$G986=B114)*(ROW('Списки блоков'!$G$2:$G986)&lt;&gt;ROW('Списки блоков'!$G$3)),0),0)),"","Закупки,")
&amp;IF(ISERROR(MATCH(1,INDEX(('Списки блоков'!$H$2:$H986=B114)*(ROW('Списки блоков'!$H$2:$H986)&lt;&gt;ROW('Списки блоков'!$H$3)),0),0)),"","ИнфоБлок,")
&amp;IF(ISERROR(MATCH(1,INDEX(('Списки блоков'!$I$2:$I986=B114)*(ROW('Списки блоков'!$I$2:$I986)&lt;&gt;ROW('Списки блоков'!$I$3)),0),0)),"","КГ,")
&amp;IF(ISERROR(MATCH(1,INDEX(('Списки блоков'!$J$2:$J986=B114)*(ROW('Списки блоков'!$J$2:$J986)&lt;&gt;ROW('Списки блоков'!$J$3)),0),0)),"","МП,")
&amp;IF(ISERROR(MATCH(1,INDEX(('Списки блоков'!$K$2:$K986=B114)*(ROW('Списки блоков'!$K$2:$K986)&lt;&gt;ROW('Списки блоков'!$K$3)),0),0)),"","Профорги,")
&amp;IF(ISERROR(MATCH(1,INDEX(('Списки блоков'!$L$2:$L986=B114)*(ROW('Списки блоков'!$L$2:$L986)&lt;&gt;ROW('Списки блоков'!$L$3)),0),0)),"","Спонсоры,")
&amp;IF(ISERROR(MATCH(1,INDEX(('Списки блоков'!$M$2:$M986=B114)*(ROW('Списки блоков'!$M$2:$M986)&lt;&gt;ROW('Списки блоков'!$M$3)),0),0)),"","Склад,")
&amp;IF(ISERROR(MATCH(1,INDEX(('Списки блоков'!$N$2:$N986=B114)*(ROW('Списки блоков'!$N$2:$N986)&lt;&gt;ROW('Списки блоков'!$N$3)),0),0)),"","Сценаристы,")
&amp;IF(ISERROR(MATCH(1,INDEX(('Списки блоков'!$O$2:$O986=B114)*(ROW('Списки блоков'!$O$2:$O986)&lt;&gt;ROW('Списки блоков'!$O$3)),0),0)),"","Техники,")
&amp;IF(ISERROR(MATCH(1,INDEX(('Списки блоков'!$P$2:$P986=B114)*(ROW('Списки блоков'!$P$2:$P986)&lt;&gt;ROW('Списки блоков'!$P$3)),0),0)),"","УРС,")
&amp;IF(ISERROR(MATCH(1,INDEX(('Списки блоков'!$Q$2:$Q986=B114)*(ROW('Списки блоков'!$Q$2:$Q986)&lt;&gt;ROW('Списки блоков'!$Q$3)),0),0)),"","Фото,")
&amp;IF(ISERROR(MATCH(1,INDEX((#REF!=B114)*(ROW(#REF!)&lt;&gt;ROW(#REF!)),0),0)),"","ЭкоБлок,")
&amp;IF(ISERROR(MATCH(1,INDEX(('Списки блоков'!$R$2:$R986=B114)*(ROW('Списки блоков'!$R$2:$R986)&lt;&gt;ROW('Списки блоков'!$R$3)),0),0)),"","HR,")
&amp;IF(ISERROR(MATCH(1,INDEX(('Списки блоков'!$S$2:$S986=B114)*(ROW('Списки блоков'!$S$2:$S986)&lt;&gt;ROW('Списки блоков'!$S$3)),0),0)),"","Instagram,")
&amp;IF(ISERROR(MATCH(1,INDEX(('Списки блоков'!$T$2:$T986=B114)*(ROW('Списки блоков'!$T$2:$T986)&lt;&gt;ROW('Списки блоков'!$T$3)),0),0)),"","Zachёt,")
&amp;IF(ISERROR(MATCH(1,INDEX(('Списки блоков'!$U$2:$U986=B114)*(ROW('Списки блоков'!$U$2:$U986)&lt;&gt;ROW('Списки блоков'!$U$3)),0),0)),"","IT,")
&amp;IF(ISERROR(MATCH(1,INDEX(('Списки блоков'!$V$2:$V986=B114)*(ROW('Списки блоков'!$V$2:$V986)&lt;&gt;ROW('Списки блоков'!$V$3)),0),0)),"","ДК,")
</f>
        <v/>
      </c>
      <c r="F114" s="9">
        <v>7.9157074202E10</v>
      </c>
      <c r="G114" s="52" t="s">
        <v>560</v>
      </c>
      <c r="H114" s="23" t="s">
        <v>561</v>
      </c>
      <c r="I114" s="41" t="s">
        <v>562</v>
      </c>
      <c r="J114" s="6" t="s">
        <v>22</v>
      </c>
    </row>
    <row r="115">
      <c r="A115" s="58" t="s">
        <v>563</v>
      </c>
      <c r="B115" s="2" t="str">
        <f t="array" ref="B115">SUBSTITUTE(SUBSTITUTE(TRIM(IF(COUNTA(РАЗДЕЛИТЬ(TRIM(A115)," "))&gt;=2, INDEX(РАЗДЕЛИТЬ(TRIM(A115)," "),1)&amp;" "&amp;INDEX(РАЗДЕЛИТЬ(TRIM(A115)," "),2), A115)),"ё","е"),"Ё","Е")</f>
        <v>Рурак Роман</v>
      </c>
      <c r="C115" s="3">
        <v>118.0</v>
      </c>
      <c r="D115" s="2" t="s">
        <v>564</v>
      </c>
      <c r="E115" s="2" t="str">
        <f t="array" ref="E115">IF(ISERROR(MATCH(1,INDEX(('Списки блоков'!$B$2:$B986=B115)*(ROW('Списки блоков'!$B$2:$B986)&lt;&gt;ROW('Списки блоков'!$B$3)),0),0)),"","БДНС,")
&amp;IF(ISERROR(MATCH(1,INDEX(('Списки блоков'!$C$2:$C986=B115)*(ROW('Списки блоков'!$C$2:$C986)&lt;&gt;ROW('Списки блоков'!$C$3)),0),0)),"","Видеолаба,")
&amp;IF(ISERROR(MATCH(1,INDEX(('Списки блоков'!$D$2:$D986=B115)*(ROW('Списки блоков'!$D$2:$D986)&lt;&gt;ROW('Списки блоков'!$D$3)),0),0)),"","Декораторы,")
&amp;IF(ISERROR(MATCH(1,INDEX(('Списки блоков'!$E$2:$E986=B115)*(ROW('Списки блоков'!$E$2:$E986)&lt;&gt;ROW('Списки блоков'!$E$3)),0),0)),"","Дизайн,")
&amp;IF(ISERROR(MATCH(1,INDEX(('Списки блоков'!$F$2:$F986=B115)*(ROW('Списки блоков'!$F$2:$F986)&lt;&gt;ROW('Списки блоков'!$F$3)),0),0)),"","Досуг,")
&amp;IF(ISERROR(MATCH(1,INDEX(('Списки блоков'!$G$2:$G986=B115)*(ROW('Списки блоков'!$G$2:$G986)&lt;&gt;ROW('Списки блоков'!$G$3)),0),0)),"","Закупки,")
&amp;IF(ISERROR(MATCH(1,INDEX(('Списки блоков'!$H$2:$H986=B115)*(ROW('Списки блоков'!$H$2:$H986)&lt;&gt;ROW('Списки блоков'!$H$3)),0),0)),"","ИнфоБлок,")
&amp;IF(ISERROR(MATCH(1,INDEX(('Списки блоков'!$I$2:$I986=B115)*(ROW('Списки блоков'!$I$2:$I986)&lt;&gt;ROW('Списки блоков'!$I$3)),0),0)),"","КГ,")
&amp;IF(ISERROR(MATCH(1,INDEX(('Списки блоков'!$J$2:$J986=B115)*(ROW('Списки блоков'!$J$2:$J986)&lt;&gt;ROW('Списки блоков'!$J$3)),0),0)),"","МП,")
&amp;IF(ISERROR(MATCH(1,INDEX(('Списки блоков'!$K$2:$K986=B115)*(ROW('Списки блоков'!$K$2:$K986)&lt;&gt;ROW('Списки блоков'!$K$3)),0),0)),"","Профорги,")
&amp;IF(ISERROR(MATCH(1,INDEX(('Списки блоков'!$L$2:$L986=B115)*(ROW('Списки блоков'!$L$2:$L986)&lt;&gt;ROW('Списки блоков'!$L$3)),0),0)),"","Спонсоры,")
&amp;IF(ISERROR(MATCH(1,INDEX(('Списки блоков'!$M$2:$M986=B115)*(ROW('Списки блоков'!$M$2:$M986)&lt;&gt;ROW('Списки блоков'!$M$3)),0),0)),"","Склад,")
&amp;IF(ISERROR(MATCH(1,INDEX(('Списки блоков'!$N$2:$N986=B115)*(ROW('Списки блоков'!$N$2:$N986)&lt;&gt;ROW('Списки блоков'!$N$3)),0),0)),"","Сценаристы,")
&amp;IF(ISERROR(MATCH(1,INDEX(('Списки блоков'!$O$2:$O986=B115)*(ROW('Списки блоков'!$O$2:$O986)&lt;&gt;ROW('Списки блоков'!$O$3)),0),0)),"","Техники,")
&amp;IF(ISERROR(MATCH(1,INDEX(('Списки блоков'!$P$2:$P986=B115)*(ROW('Списки блоков'!$P$2:$P986)&lt;&gt;ROW('Списки блоков'!$P$3)),0),0)),"","УРС,")
&amp;IF(ISERROR(MATCH(1,INDEX(('Списки блоков'!$Q$2:$Q986=B115)*(ROW('Списки блоков'!$Q$2:$Q986)&lt;&gt;ROW('Списки блоков'!$Q$3)),0),0)),"","Фото,")
&amp;IF(ISERROR(MATCH(1,INDEX((#REF!=B115)*(ROW(#REF!)&lt;&gt;ROW(#REF!)),0),0)),"","ЭкоБлок,")
&amp;IF(ISERROR(MATCH(1,INDEX(('Списки блоков'!$R$2:$R986=B115)*(ROW('Списки блоков'!$R$2:$R986)&lt;&gt;ROW('Списки блоков'!$R$3)),0),0)),"","HR,")
&amp;IF(ISERROR(MATCH(1,INDEX(('Списки блоков'!$S$2:$S986=B115)*(ROW('Списки блоков'!$S$2:$S986)&lt;&gt;ROW('Списки блоков'!$S$3)),0),0)),"","Instagram,")
&amp;IF(ISERROR(MATCH(1,INDEX(('Списки блоков'!$T$2:$T986=B115)*(ROW('Списки блоков'!$T$2:$T986)&lt;&gt;ROW('Списки блоков'!$T$3)),0),0)),"","Zachёt,")
&amp;IF(ISERROR(MATCH(1,INDEX(('Списки блоков'!$U$2:$U986=B115)*(ROW('Списки блоков'!$U$2:$U986)&lt;&gt;ROW('Списки блоков'!$U$3)),0),0)),"","IT,")
&amp;IF(ISERROR(MATCH(1,INDEX(('Списки блоков'!$V$2:$V986=B115)*(ROW('Списки блоков'!$V$2:$V986)&lt;&gt;ROW('Списки блоков'!$V$3)),0),0)),"","ДК,")
</f>
        <v>Видеолаба,Спонсоры,Instagram,</v>
      </c>
      <c r="F115" s="4">
        <v>8.9918879937E10</v>
      </c>
      <c r="G115" s="50" t="s">
        <v>565</v>
      </c>
      <c r="H115" s="30" t="s">
        <v>566</v>
      </c>
      <c r="I115" s="51" t="s">
        <v>567</v>
      </c>
      <c r="J115" s="7" t="s">
        <v>15</v>
      </c>
    </row>
    <row r="116">
      <c r="A116" s="22" t="s">
        <v>568</v>
      </c>
      <c r="B116" s="2" t="str">
        <f t="shared" ref="B116:B118" si="6">LEFT(A116,FIND(CHAR(160),SUBSTITUTE(A116," ",CHAR(160),2)) - 1)</f>
        <v>Рыбникова Дарья</v>
      </c>
      <c r="C116" s="9">
        <v>402.0</v>
      </c>
      <c r="D116" s="6" t="s">
        <v>569</v>
      </c>
      <c r="E116" s="2" t="str">
        <f t="array" ref="E116">IF(ISERROR(MATCH(1,INDEX(('Списки блоков'!$B$2:$B986=B116)*(ROW('Списки блоков'!$B$2:$B986)&lt;&gt;ROW('Списки блоков'!$B$3)),0),0)),"","БДНС,")
&amp;IF(ISERROR(MATCH(1,INDEX(('Списки блоков'!$C$2:$C986=B116)*(ROW('Списки блоков'!$C$2:$C986)&lt;&gt;ROW('Списки блоков'!$C$3)),0),0)),"","Видеолаба,")
&amp;IF(ISERROR(MATCH(1,INDEX(('Списки блоков'!$D$2:$D986=B116)*(ROW('Списки блоков'!$D$2:$D986)&lt;&gt;ROW('Списки блоков'!$D$3)),0),0)),"","Декораторы,")
&amp;IF(ISERROR(MATCH(1,INDEX(('Списки блоков'!$E$2:$E986=B116)*(ROW('Списки блоков'!$E$2:$E986)&lt;&gt;ROW('Списки блоков'!$E$3)),0),0)),"","Дизайн,")
&amp;IF(ISERROR(MATCH(1,INDEX(('Списки блоков'!$F$2:$F986=B116)*(ROW('Списки блоков'!$F$2:$F986)&lt;&gt;ROW('Списки блоков'!$F$3)),0),0)),"","Досуг,")
&amp;IF(ISERROR(MATCH(1,INDEX(('Списки блоков'!$G$2:$G986=B116)*(ROW('Списки блоков'!$G$2:$G986)&lt;&gt;ROW('Списки блоков'!$G$3)),0),0)),"","Закупки,")
&amp;IF(ISERROR(MATCH(1,INDEX(('Списки блоков'!$H$2:$H986=B116)*(ROW('Списки блоков'!$H$2:$H986)&lt;&gt;ROW('Списки блоков'!$H$3)),0),0)),"","ИнфоБлок,")
&amp;IF(ISERROR(MATCH(1,INDEX(('Списки блоков'!$I$2:$I986=B116)*(ROW('Списки блоков'!$I$2:$I986)&lt;&gt;ROW('Списки блоков'!$I$3)),0),0)),"","КГ,")
&amp;IF(ISERROR(MATCH(1,INDEX(('Списки блоков'!$J$2:$J986=B116)*(ROW('Списки блоков'!$J$2:$J986)&lt;&gt;ROW('Списки блоков'!$J$3)),0),0)),"","МП,")
&amp;IF(ISERROR(MATCH(1,INDEX(('Списки блоков'!$K$2:$K986=B116)*(ROW('Списки блоков'!$K$2:$K986)&lt;&gt;ROW('Списки блоков'!$K$3)),0),0)),"","Профорги,")
&amp;IF(ISERROR(MATCH(1,INDEX(('Списки блоков'!$L$2:$L986=B116)*(ROW('Списки блоков'!$L$2:$L986)&lt;&gt;ROW('Списки блоков'!$L$3)),0),0)),"","Спонсоры,")
&amp;IF(ISERROR(MATCH(1,INDEX(('Списки блоков'!$M$2:$M986=B116)*(ROW('Списки блоков'!$M$2:$M986)&lt;&gt;ROW('Списки блоков'!$M$3)),0),0)),"","Склад,")
&amp;IF(ISERROR(MATCH(1,INDEX(('Списки блоков'!$N$2:$N986=B116)*(ROW('Списки блоков'!$N$2:$N986)&lt;&gt;ROW('Списки блоков'!$N$3)),0),0)),"","Сценаристы,")
&amp;IF(ISERROR(MATCH(1,INDEX(('Списки блоков'!$O$2:$O986=B116)*(ROW('Списки блоков'!$O$2:$O986)&lt;&gt;ROW('Списки блоков'!$O$3)),0),0)),"","Техники,")
&amp;IF(ISERROR(MATCH(1,INDEX(('Списки блоков'!$P$2:$P986=B116)*(ROW('Списки блоков'!$P$2:$P986)&lt;&gt;ROW('Списки блоков'!$P$3)),0),0)),"","УРС,")
&amp;IF(ISERROR(MATCH(1,INDEX(('Списки блоков'!$Q$2:$Q986=B116)*(ROW('Списки блоков'!$Q$2:$Q986)&lt;&gt;ROW('Списки блоков'!$Q$3)),0),0)),"","Фото,")
&amp;IF(ISERROR(MATCH(1,INDEX((#REF!=B116)*(ROW(#REF!)&lt;&gt;ROW(#REF!)),0),0)),"","ЭкоБлок,")
&amp;IF(ISERROR(MATCH(1,INDEX(('Списки блоков'!$R$2:$R986=B116)*(ROW('Списки блоков'!$R$2:$R986)&lt;&gt;ROW('Списки блоков'!$R$3)),0),0)),"","HR,")
&amp;IF(ISERROR(MATCH(1,INDEX(('Списки блоков'!$S$2:$S986=B116)*(ROW('Списки блоков'!$S$2:$S986)&lt;&gt;ROW('Списки блоков'!$S$3)),0),0)),"","Instagram,")
&amp;IF(ISERROR(MATCH(1,INDEX(('Списки блоков'!$T$2:$T986=B116)*(ROW('Списки блоков'!$T$2:$T986)&lt;&gt;ROW('Списки блоков'!$T$3)),0),0)),"","Zachёt,")
&amp;IF(ISERROR(MATCH(1,INDEX(('Списки блоков'!$U$2:$U986=B116)*(ROW('Списки блоков'!$U$2:$U986)&lt;&gt;ROW('Списки блоков'!$U$3)),0),0)),"","IT,")
&amp;IF(ISERROR(MATCH(1,INDEX(('Списки блоков'!$V$2:$V986=B116)*(ROW('Списки блоков'!$V$2:$V986)&lt;&gt;ROW('Списки блоков'!$V$3)),0),0)),"","ДК,")
</f>
        <v>УРС,</v>
      </c>
      <c r="F116" s="11">
        <v>8.925597745E10</v>
      </c>
      <c r="G116" s="52" t="s">
        <v>570</v>
      </c>
      <c r="H116" s="22" t="s">
        <v>571</v>
      </c>
      <c r="I116" s="41" t="s">
        <v>572</v>
      </c>
      <c r="J116" s="6" t="s">
        <v>22</v>
      </c>
    </row>
    <row r="117">
      <c r="A117" s="26" t="s">
        <v>573</v>
      </c>
      <c r="B117" s="2" t="str">
        <f t="shared" si="6"/>
        <v>Рыжикова Анастасия</v>
      </c>
      <c r="C117" s="9">
        <v>416.0</v>
      </c>
      <c r="D117" s="10" t="s">
        <v>574</v>
      </c>
      <c r="E117" s="2" t="str">
        <f t="array" ref="E117">IF(ISERROR(MATCH(1,INDEX(('Списки блоков'!$B$2:$B986=B117)*(ROW('Списки блоков'!$B$2:$B986)&lt;&gt;ROW('Списки блоков'!$B$3)),0),0)),"","БДНС,")
&amp;IF(ISERROR(MATCH(1,INDEX(('Списки блоков'!$C$2:$C986=B117)*(ROW('Списки блоков'!$C$2:$C986)&lt;&gt;ROW('Списки блоков'!$C$3)),0),0)),"","Видеолаба,")
&amp;IF(ISERROR(MATCH(1,INDEX(('Списки блоков'!$D$2:$D986=B117)*(ROW('Списки блоков'!$D$2:$D986)&lt;&gt;ROW('Списки блоков'!$D$3)),0),0)),"","Декораторы,")
&amp;IF(ISERROR(MATCH(1,INDEX(('Списки блоков'!$E$2:$E986=B117)*(ROW('Списки блоков'!$E$2:$E986)&lt;&gt;ROW('Списки блоков'!$E$3)),0),0)),"","Дизайн,")
&amp;IF(ISERROR(MATCH(1,INDEX(('Списки блоков'!$F$2:$F986=B117)*(ROW('Списки блоков'!$F$2:$F986)&lt;&gt;ROW('Списки блоков'!$F$3)),0),0)),"","Досуг,")
&amp;IF(ISERROR(MATCH(1,INDEX(('Списки блоков'!$G$2:$G986=B117)*(ROW('Списки блоков'!$G$2:$G986)&lt;&gt;ROW('Списки блоков'!$G$3)),0),0)),"","Закупки,")
&amp;IF(ISERROR(MATCH(1,INDEX(('Списки блоков'!$H$2:$H986=B117)*(ROW('Списки блоков'!$H$2:$H986)&lt;&gt;ROW('Списки блоков'!$H$3)),0),0)),"","ИнфоБлок,")
&amp;IF(ISERROR(MATCH(1,INDEX(('Списки блоков'!$I$2:$I986=B117)*(ROW('Списки блоков'!$I$2:$I986)&lt;&gt;ROW('Списки блоков'!$I$3)),0),0)),"","КГ,")
&amp;IF(ISERROR(MATCH(1,INDEX(('Списки блоков'!$J$2:$J986=B117)*(ROW('Списки блоков'!$J$2:$J986)&lt;&gt;ROW('Списки блоков'!$J$3)),0),0)),"","МП,")
&amp;IF(ISERROR(MATCH(1,INDEX(('Списки блоков'!$K$2:$K986=B117)*(ROW('Списки блоков'!$K$2:$K986)&lt;&gt;ROW('Списки блоков'!$K$3)),0),0)),"","Профорги,")
&amp;IF(ISERROR(MATCH(1,INDEX(('Списки блоков'!$L$2:$L986=B117)*(ROW('Списки блоков'!$L$2:$L986)&lt;&gt;ROW('Списки блоков'!$L$3)),0),0)),"","Спонсоры,")
&amp;IF(ISERROR(MATCH(1,INDEX(('Списки блоков'!$M$2:$M986=B117)*(ROW('Списки блоков'!$M$2:$M986)&lt;&gt;ROW('Списки блоков'!$M$3)),0),0)),"","Склад,")
&amp;IF(ISERROR(MATCH(1,INDEX(('Списки блоков'!$N$2:$N986=B117)*(ROW('Списки блоков'!$N$2:$N986)&lt;&gt;ROW('Списки блоков'!$N$3)),0),0)),"","Сценаристы,")
&amp;IF(ISERROR(MATCH(1,INDEX(('Списки блоков'!$O$2:$O986=B117)*(ROW('Списки блоков'!$O$2:$O986)&lt;&gt;ROW('Списки блоков'!$O$3)),0),0)),"","Техники,")
&amp;IF(ISERROR(MATCH(1,INDEX(('Списки блоков'!$P$2:$P986=B117)*(ROW('Списки блоков'!$P$2:$P986)&lt;&gt;ROW('Списки блоков'!$P$3)),0),0)),"","УРС,")
&amp;IF(ISERROR(MATCH(1,INDEX(('Списки блоков'!$Q$2:$Q986=B117)*(ROW('Списки блоков'!$Q$2:$Q986)&lt;&gt;ROW('Списки блоков'!$Q$3)),0),0)),"","Фото,")
&amp;IF(ISERROR(MATCH(1,INDEX((#REF!=B117)*(ROW(#REF!)&lt;&gt;ROW(#REF!)),0),0)),"","ЭкоБлок,")
&amp;IF(ISERROR(MATCH(1,INDEX(('Списки блоков'!$R$2:$R986=B117)*(ROW('Списки блоков'!$R$2:$R986)&lt;&gt;ROW('Списки блоков'!$R$3)),0),0)),"","HR,")
&amp;IF(ISERROR(MATCH(1,INDEX(('Списки блоков'!$S$2:$S986=B117)*(ROW('Списки блоков'!$S$2:$S986)&lt;&gt;ROW('Списки блоков'!$S$3)),0),0)),"","Instagram,")
&amp;IF(ISERROR(MATCH(1,INDEX(('Списки блоков'!$T$2:$T986=B117)*(ROW('Списки блоков'!$T$2:$T986)&lt;&gt;ROW('Списки блоков'!$T$3)),0),0)),"","Zachёt,")
&amp;IF(ISERROR(MATCH(1,INDEX(('Списки блоков'!$U$2:$U986=B117)*(ROW('Списки блоков'!$U$2:$U986)&lt;&gt;ROW('Списки блоков'!$U$3)),0),0)),"","IT,")
&amp;IF(ISERROR(MATCH(1,INDEX(('Списки блоков'!$V$2:$V986=B117)*(ROW('Списки блоков'!$V$2:$V986)&lt;&gt;ROW('Списки блоков'!$V$3)),0),0)),"","ДК,")
</f>
        <v>Декораторы,Дизайн,HR,</v>
      </c>
      <c r="F117" s="11">
        <v>8.9105177998E10</v>
      </c>
      <c r="G117" s="42" t="s">
        <v>575</v>
      </c>
      <c r="H117" s="26" t="s">
        <v>576</v>
      </c>
      <c r="I117" s="43" t="s">
        <v>577</v>
      </c>
      <c r="J117" s="6" t="s">
        <v>22</v>
      </c>
    </row>
    <row r="118">
      <c r="A118" s="44" t="s">
        <v>578</v>
      </c>
      <c r="B118" s="2" t="str">
        <f t="shared" si="6"/>
        <v>Рязанов Иван</v>
      </c>
      <c r="C118" s="3">
        <v>206.0</v>
      </c>
      <c r="D118" s="2" t="s">
        <v>50</v>
      </c>
      <c r="E118" s="2" t="str">
        <f t="array" ref="E118">IF(ISERROR(MATCH(1,INDEX(('Списки блоков'!$B$2:$B986=B118)*(ROW('Списки блоков'!$B$2:$B986)&lt;&gt;ROW('Списки блоков'!$B$3)),0),0)),"","БДНС,")
&amp;IF(ISERROR(MATCH(1,INDEX(('Списки блоков'!$C$2:$C986=B118)*(ROW('Списки блоков'!$C$2:$C986)&lt;&gt;ROW('Списки блоков'!$C$3)),0),0)),"","Видеолаба,")
&amp;IF(ISERROR(MATCH(1,INDEX(('Списки блоков'!$D$2:$D986=B118)*(ROW('Списки блоков'!$D$2:$D986)&lt;&gt;ROW('Списки блоков'!$D$3)),0),0)),"","Декораторы,")
&amp;IF(ISERROR(MATCH(1,INDEX(('Списки блоков'!$E$2:$E986=B118)*(ROW('Списки блоков'!$E$2:$E986)&lt;&gt;ROW('Списки блоков'!$E$3)),0),0)),"","Дизайн,")
&amp;IF(ISERROR(MATCH(1,INDEX(('Списки блоков'!$F$2:$F986=B118)*(ROW('Списки блоков'!$F$2:$F986)&lt;&gt;ROW('Списки блоков'!$F$3)),0),0)),"","Досуг,")
&amp;IF(ISERROR(MATCH(1,INDEX(('Списки блоков'!$G$2:$G986=B118)*(ROW('Списки блоков'!$G$2:$G986)&lt;&gt;ROW('Списки блоков'!$G$3)),0),0)),"","Закупки,")
&amp;IF(ISERROR(MATCH(1,INDEX(('Списки блоков'!$H$2:$H986=B118)*(ROW('Списки блоков'!$H$2:$H986)&lt;&gt;ROW('Списки блоков'!$H$3)),0),0)),"","ИнфоБлок,")
&amp;IF(ISERROR(MATCH(1,INDEX(('Списки блоков'!$I$2:$I986=B118)*(ROW('Списки блоков'!$I$2:$I986)&lt;&gt;ROW('Списки блоков'!$I$3)),0),0)),"","КГ,")
&amp;IF(ISERROR(MATCH(1,INDEX(('Списки блоков'!$J$2:$J986=B118)*(ROW('Списки блоков'!$J$2:$J986)&lt;&gt;ROW('Списки блоков'!$J$3)),0),0)),"","МП,")
&amp;IF(ISERROR(MATCH(1,INDEX(('Списки блоков'!$K$2:$K986=B118)*(ROW('Списки блоков'!$K$2:$K986)&lt;&gt;ROW('Списки блоков'!$K$3)),0),0)),"","Профорги,")
&amp;IF(ISERROR(MATCH(1,INDEX(('Списки блоков'!$L$2:$L986=B118)*(ROW('Списки блоков'!$L$2:$L986)&lt;&gt;ROW('Списки блоков'!$L$3)),0),0)),"","Спонсоры,")
&amp;IF(ISERROR(MATCH(1,INDEX(('Списки блоков'!$M$2:$M986=B118)*(ROW('Списки блоков'!$M$2:$M986)&lt;&gt;ROW('Списки блоков'!$M$3)),0),0)),"","Склад,")
&amp;IF(ISERROR(MATCH(1,INDEX(('Списки блоков'!$N$2:$N986=B118)*(ROW('Списки блоков'!$N$2:$N986)&lt;&gt;ROW('Списки блоков'!$N$3)),0),0)),"","Сценаристы,")
&amp;IF(ISERROR(MATCH(1,INDEX(('Списки блоков'!$O$2:$O986=B118)*(ROW('Списки блоков'!$O$2:$O986)&lt;&gt;ROW('Списки блоков'!$O$3)),0),0)),"","Техники,")
&amp;IF(ISERROR(MATCH(1,INDEX(('Списки блоков'!$P$2:$P986=B118)*(ROW('Списки блоков'!$P$2:$P986)&lt;&gt;ROW('Списки блоков'!$P$3)),0),0)),"","УРС,")
&amp;IF(ISERROR(MATCH(1,INDEX(('Списки блоков'!$Q$2:$Q986=B118)*(ROW('Списки блоков'!$Q$2:$Q986)&lt;&gt;ROW('Списки блоков'!$Q$3)),0),0)),"","Фото,")
&amp;IF(ISERROR(MATCH(1,INDEX((#REF!=B118)*(ROW(#REF!)&lt;&gt;ROW(#REF!)),0),0)),"","ЭкоБлок,")
&amp;IF(ISERROR(MATCH(1,INDEX(('Списки блоков'!$R$2:$R986=B118)*(ROW('Списки блоков'!$R$2:$R986)&lt;&gt;ROW('Списки блоков'!$R$3)),0),0)),"","HR,")
&amp;IF(ISERROR(MATCH(1,INDEX(('Списки блоков'!$S$2:$S986=B118)*(ROW('Списки блоков'!$S$2:$S986)&lt;&gt;ROW('Списки блоков'!$S$3)),0),0)),"","Instagram,")
&amp;IF(ISERROR(MATCH(1,INDEX(('Списки блоков'!$T$2:$T986=B118)*(ROW('Списки блоков'!$T$2:$T986)&lt;&gt;ROW('Списки блоков'!$T$3)),0),0)),"","Zachёt,")
&amp;IF(ISERROR(MATCH(1,INDEX(('Списки блоков'!$U$2:$U986=B118)*(ROW('Списки блоков'!$U$2:$U986)&lt;&gt;ROW('Списки блоков'!$U$3)),0),0)),"","IT,")
&amp;IF(ISERROR(MATCH(1,INDEX(('Списки блоков'!$V$2:$V986=B118)*(ROW('Списки блоков'!$V$2:$V986)&lt;&gt;ROW('Списки блоков'!$V$3)),0),0)),"","ДК,")
</f>
        <v>КГ,Сценаристы,</v>
      </c>
      <c r="F118" s="8">
        <v>8.9534753914E10</v>
      </c>
      <c r="G118" s="45" t="s">
        <v>579</v>
      </c>
      <c r="H118" s="49" t="s">
        <v>580</v>
      </c>
      <c r="I118" s="46" t="s">
        <v>581</v>
      </c>
      <c r="J118" s="7" t="s">
        <v>22</v>
      </c>
    </row>
    <row r="119">
      <c r="A119" s="47" t="s">
        <v>582</v>
      </c>
      <c r="B119" s="7" t="s">
        <v>583</v>
      </c>
      <c r="C119" s="9">
        <v>113.0</v>
      </c>
      <c r="D119" s="6" t="s">
        <v>584</v>
      </c>
      <c r="E119" s="2" t="str">
        <f t="array" ref="E119">IF(ISERROR(MATCH(1,INDEX(('Списки блоков'!$B$2:$B986=B119)*(ROW('Списки блоков'!$B$2:$B986)&lt;&gt;ROW('Списки блоков'!$B$3)),0),0)),"","БДНС,")
&amp;IF(ISERROR(MATCH(1,INDEX(('Списки блоков'!$C$2:$C986=B119)*(ROW('Списки блоков'!$C$2:$C986)&lt;&gt;ROW('Списки блоков'!$C$3)),0),0)),"","Видеолаба,")
&amp;IF(ISERROR(MATCH(1,INDEX(('Списки блоков'!$D$2:$D986=B119)*(ROW('Списки блоков'!$D$2:$D986)&lt;&gt;ROW('Списки блоков'!$D$3)),0),0)),"","Декораторы,")
&amp;IF(ISERROR(MATCH(1,INDEX(('Списки блоков'!$E$2:$E986=B119)*(ROW('Списки блоков'!$E$2:$E986)&lt;&gt;ROW('Списки блоков'!$E$3)),0),0)),"","Дизайн,")
&amp;IF(ISERROR(MATCH(1,INDEX(('Списки блоков'!$F$2:$F986=B119)*(ROW('Списки блоков'!$F$2:$F986)&lt;&gt;ROW('Списки блоков'!$F$3)),0),0)),"","Досуг,")
&amp;IF(ISERROR(MATCH(1,INDEX(('Списки блоков'!$G$2:$G986=B119)*(ROW('Списки блоков'!$G$2:$G986)&lt;&gt;ROW('Списки блоков'!$G$3)),0),0)),"","Закупки,")
&amp;IF(ISERROR(MATCH(1,INDEX(('Списки блоков'!$H$2:$H986=B119)*(ROW('Списки блоков'!$H$2:$H986)&lt;&gt;ROW('Списки блоков'!$H$3)),0),0)),"","ИнфоБлок,")
&amp;IF(ISERROR(MATCH(1,INDEX(('Списки блоков'!$I$2:$I986=B119)*(ROW('Списки блоков'!$I$2:$I986)&lt;&gt;ROW('Списки блоков'!$I$3)),0),0)),"","КГ,")
&amp;IF(ISERROR(MATCH(1,INDEX(('Списки блоков'!$J$2:$J986=B119)*(ROW('Списки блоков'!$J$2:$J986)&lt;&gt;ROW('Списки блоков'!$J$3)),0),0)),"","МП,")
&amp;IF(ISERROR(MATCH(1,INDEX(('Списки блоков'!$K$2:$K986=B119)*(ROW('Списки блоков'!$K$2:$K986)&lt;&gt;ROW('Списки блоков'!$K$3)),0),0)),"","Профорги,")
&amp;IF(ISERROR(MATCH(1,INDEX(('Списки блоков'!$L$2:$L986=B119)*(ROW('Списки блоков'!$L$2:$L986)&lt;&gt;ROW('Списки блоков'!$L$3)),0),0)),"","Спонсоры,")
&amp;IF(ISERROR(MATCH(1,INDEX(('Списки блоков'!$M$2:$M986=B119)*(ROW('Списки блоков'!$M$2:$M986)&lt;&gt;ROW('Списки блоков'!$M$3)),0),0)),"","Склад,")
&amp;IF(ISERROR(MATCH(1,INDEX(('Списки блоков'!$N$2:$N986=B119)*(ROW('Списки блоков'!$N$2:$N986)&lt;&gt;ROW('Списки блоков'!$N$3)),0),0)),"","Сценаристы,")
&amp;IF(ISERROR(MATCH(1,INDEX(('Списки блоков'!$O$2:$O986=B119)*(ROW('Списки блоков'!$O$2:$O986)&lt;&gt;ROW('Списки блоков'!$O$3)),0),0)),"","Техники,")
&amp;IF(ISERROR(MATCH(1,INDEX(('Списки блоков'!$P$2:$P986=B119)*(ROW('Списки блоков'!$P$2:$P986)&lt;&gt;ROW('Списки блоков'!$P$3)),0),0)),"","УРС,")
&amp;IF(ISERROR(MATCH(1,INDEX(('Списки блоков'!$Q$2:$Q986=B119)*(ROW('Списки блоков'!$Q$2:$Q986)&lt;&gt;ROW('Списки блоков'!$Q$3)),0),0)),"","Фото,")
&amp;IF(ISERROR(MATCH(1,INDEX((#REF!=B119)*(ROW(#REF!)&lt;&gt;ROW(#REF!)),0),0)),"","ЭкоБлок,")
&amp;IF(ISERROR(MATCH(1,INDEX(('Списки блоков'!$R$2:$R986=B119)*(ROW('Списки блоков'!$R$2:$R986)&lt;&gt;ROW('Списки блоков'!$R$3)),0),0)),"","HR,")
&amp;IF(ISERROR(MATCH(1,INDEX(('Списки блоков'!$S$2:$S986=B119)*(ROW('Списки блоков'!$S$2:$S986)&lt;&gt;ROW('Списки блоков'!$S$3)),0),0)),"","Instagram,")
&amp;IF(ISERROR(MATCH(1,INDEX(('Списки блоков'!$T$2:$T986=B119)*(ROW('Списки блоков'!$T$2:$T986)&lt;&gt;ROW('Списки блоков'!$T$3)),0),0)),"","Zachёt,")
&amp;IF(ISERROR(MATCH(1,INDEX(('Списки блоков'!$U$2:$U986=B119)*(ROW('Списки блоков'!$U$2:$U986)&lt;&gt;ROW('Списки блоков'!$U$3)),0),0)),"","IT,")
&amp;IF(ISERROR(MATCH(1,INDEX(('Списки блоков'!$V$2:$V986=B119)*(ROW('Списки блоков'!$V$2:$V986)&lt;&gt;ROW('Списки блоков'!$V$3)),0),0)),"","ДК,")
</f>
        <v>Сценаристы,</v>
      </c>
      <c r="F119" s="14">
        <v>8.9774603201E10</v>
      </c>
      <c r="G119" s="48" t="s">
        <v>585</v>
      </c>
      <c r="H119" s="26" t="s">
        <v>586</v>
      </c>
      <c r="I119" s="43" t="s">
        <v>587</v>
      </c>
      <c r="J119" s="6" t="s">
        <v>22</v>
      </c>
    </row>
    <row r="120">
      <c r="A120" s="30" t="s">
        <v>588</v>
      </c>
      <c r="B120" s="2" t="str">
        <f t="shared" ref="B120:B142" si="7">LEFT(A120,FIND(CHAR(160),SUBSTITUTE(A120," ",CHAR(160),2)) - 1)</f>
        <v>Саакян Грант</v>
      </c>
      <c r="C120" s="3">
        <v>206.0</v>
      </c>
      <c r="D120" s="2" t="s">
        <v>589</v>
      </c>
      <c r="E120" s="2" t="str">
        <f t="array" ref="E120">IF(ISERROR(MATCH(1,INDEX(('Списки блоков'!$B$2:$B986=B120)*(ROW('Списки блоков'!$B$2:$B986)&lt;&gt;ROW('Списки блоков'!$B$3)),0),0)),"","БДНС,")
&amp;IF(ISERROR(MATCH(1,INDEX(('Списки блоков'!$C$2:$C986=B120)*(ROW('Списки блоков'!$C$2:$C986)&lt;&gt;ROW('Списки блоков'!$C$3)),0),0)),"","Видеолаба,")
&amp;IF(ISERROR(MATCH(1,INDEX(('Списки блоков'!$D$2:$D986=B120)*(ROW('Списки блоков'!$D$2:$D986)&lt;&gt;ROW('Списки блоков'!$D$3)),0),0)),"","Декораторы,")
&amp;IF(ISERROR(MATCH(1,INDEX(('Списки блоков'!$E$2:$E986=B120)*(ROW('Списки блоков'!$E$2:$E986)&lt;&gt;ROW('Списки блоков'!$E$3)),0),0)),"","Дизайн,")
&amp;IF(ISERROR(MATCH(1,INDEX(('Списки блоков'!$F$2:$F986=B120)*(ROW('Списки блоков'!$F$2:$F986)&lt;&gt;ROW('Списки блоков'!$F$3)),0),0)),"","Досуг,")
&amp;IF(ISERROR(MATCH(1,INDEX(('Списки блоков'!$G$2:$G986=B120)*(ROW('Списки блоков'!$G$2:$G986)&lt;&gt;ROW('Списки блоков'!$G$3)),0),0)),"","Закупки,")
&amp;IF(ISERROR(MATCH(1,INDEX(('Списки блоков'!$H$2:$H986=B120)*(ROW('Списки блоков'!$H$2:$H986)&lt;&gt;ROW('Списки блоков'!$H$3)),0),0)),"","ИнфоБлок,")
&amp;IF(ISERROR(MATCH(1,INDEX(('Списки блоков'!$I$2:$I986=B120)*(ROW('Списки блоков'!$I$2:$I986)&lt;&gt;ROW('Списки блоков'!$I$3)),0),0)),"","КГ,")
&amp;IF(ISERROR(MATCH(1,INDEX(('Списки блоков'!$J$2:$J986=B120)*(ROW('Списки блоков'!$J$2:$J986)&lt;&gt;ROW('Списки блоков'!$J$3)),0),0)),"","МП,")
&amp;IF(ISERROR(MATCH(1,INDEX(('Списки блоков'!$K$2:$K986=B120)*(ROW('Списки блоков'!$K$2:$K986)&lt;&gt;ROW('Списки блоков'!$K$3)),0),0)),"","Профорги,")
&amp;IF(ISERROR(MATCH(1,INDEX(('Списки блоков'!$L$2:$L986=B120)*(ROW('Списки блоков'!$L$2:$L986)&lt;&gt;ROW('Списки блоков'!$L$3)),0),0)),"","Спонсоры,")
&amp;IF(ISERROR(MATCH(1,INDEX(('Списки блоков'!$M$2:$M986=B120)*(ROW('Списки блоков'!$M$2:$M986)&lt;&gt;ROW('Списки блоков'!$M$3)),0),0)),"","Склад,")
&amp;IF(ISERROR(MATCH(1,INDEX(('Списки блоков'!$N$2:$N986=B120)*(ROW('Списки блоков'!$N$2:$N986)&lt;&gt;ROW('Списки блоков'!$N$3)),0),0)),"","Сценаристы,")
&amp;IF(ISERROR(MATCH(1,INDEX(('Списки блоков'!$O$2:$O986=B120)*(ROW('Списки блоков'!$O$2:$O986)&lt;&gt;ROW('Списки блоков'!$O$3)),0),0)),"","Техники,")
&amp;IF(ISERROR(MATCH(1,INDEX(('Списки блоков'!$P$2:$P986=B120)*(ROW('Списки блоков'!$P$2:$P986)&lt;&gt;ROW('Списки блоков'!$P$3)),0),0)),"","УРС,")
&amp;IF(ISERROR(MATCH(1,INDEX(('Списки блоков'!$Q$2:$Q986=B120)*(ROW('Списки блоков'!$Q$2:$Q986)&lt;&gt;ROW('Списки блоков'!$Q$3)),0),0)),"","Фото,")
&amp;IF(ISERROR(MATCH(1,INDEX((#REF!=B120)*(ROW(#REF!)&lt;&gt;ROW(#REF!)),0),0)),"","ЭкоБлок,")
&amp;IF(ISERROR(MATCH(1,INDEX(('Списки блоков'!$R$2:$R986=B120)*(ROW('Списки блоков'!$R$2:$R986)&lt;&gt;ROW('Списки блоков'!$R$3)),0),0)),"","HR,")
&amp;IF(ISERROR(MATCH(1,INDEX(('Списки блоков'!$S$2:$S986=B120)*(ROW('Списки блоков'!$S$2:$S986)&lt;&gt;ROW('Списки блоков'!$S$3)),0),0)),"","Instagram,")
&amp;IF(ISERROR(MATCH(1,INDEX(('Списки блоков'!$T$2:$T986=B120)*(ROW('Списки блоков'!$T$2:$T986)&lt;&gt;ROW('Списки блоков'!$T$3)),0),0)),"","Zachёt,")
&amp;IF(ISERROR(MATCH(1,INDEX(('Списки блоков'!$U$2:$U986=B120)*(ROW('Списки блоков'!$U$2:$U986)&lt;&gt;ROW('Списки блоков'!$U$3)),0),0)),"","IT,")
&amp;IF(ISERROR(MATCH(1,INDEX(('Списки блоков'!$V$2:$V986=B120)*(ROW('Списки блоков'!$V$2:$V986)&lt;&gt;ROW('Списки блоков'!$V$3)),0),0)),"","ДК,")
</f>
        <v>Закупки,Спонсоры,Zachёt,</v>
      </c>
      <c r="F120" s="8">
        <v>8.903549116E10</v>
      </c>
      <c r="G120" s="50" t="s">
        <v>590</v>
      </c>
      <c r="H120" s="30" t="s">
        <v>591</v>
      </c>
      <c r="I120" s="51" t="s">
        <v>592</v>
      </c>
      <c r="J120" s="7" t="s">
        <v>22</v>
      </c>
    </row>
    <row r="121">
      <c r="A121" s="22" t="s">
        <v>593</v>
      </c>
      <c r="B121" s="2" t="str">
        <f t="shared" si="7"/>
        <v>Саратовкин Николай</v>
      </c>
      <c r="C121" s="9">
        <v>112.0</v>
      </c>
      <c r="D121" s="10" t="s">
        <v>50</v>
      </c>
      <c r="E121" s="2" t="str">
        <f t="array" ref="E121">IF(ISERROR(MATCH(1,INDEX(('Списки блоков'!$B$2:$B986=B121)*(ROW('Списки блоков'!$B$2:$B986)&lt;&gt;ROW('Списки блоков'!$B$3)),0),0)),"","БДНС,")
&amp;IF(ISERROR(MATCH(1,INDEX(('Списки блоков'!$C$2:$C986=B121)*(ROW('Списки блоков'!$C$2:$C986)&lt;&gt;ROW('Списки блоков'!$C$3)),0),0)),"","Видеолаба,")
&amp;IF(ISERROR(MATCH(1,INDEX(('Списки блоков'!$D$2:$D986=B121)*(ROW('Списки блоков'!$D$2:$D986)&lt;&gt;ROW('Списки блоков'!$D$3)),0),0)),"","Декораторы,")
&amp;IF(ISERROR(MATCH(1,INDEX(('Списки блоков'!$E$2:$E986=B121)*(ROW('Списки блоков'!$E$2:$E986)&lt;&gt;ROW('Списки блоков'!$E$3)),0),0)),"","Дизайн,")
&amp;IF(ISERROR(MATCH(1,INDEX(('Списки блоков'!$F$2:$F986=B121)*(ROW('Списки блоков'!$F$2:$F986)&lt;&gt;ROW('Списки блоков'!$F$3)),0),0)),"","Досуг,")
&amp;IF(ISERROR(MATCH(1,INDEX(('Списки блоков'!$G$2:$G986=B121)*(ROW('Списки блоков'!$G$2:$G986)&lt;&gt;ROW('Списки блоков'!$G$3)),0),0)),"","Закупки,")
&amp;IF(ISERROR(MATCH(1,INDEX(('Списки блоков'!$H$2:$H986=B121)*(ROW('Списки блоков'!$H$2:$H986)&lt;&gt;ROW('Списки блоков'!$H$3)),0),0)),"","ИнфоБлок,")
&amp;IF(ISERROR(MATCH(1,INDEX(('Списки блоков'!$I$2:$I986=B121)*(ROW('Списки блоков'!$I$2:$I986)&lt;&gt;ROW('Списки блоков'!$I$3)),0),0)),"","КГ,")
&amp;IF(ISERROR(MATCH(1,INDEX(('Списки блоков'!$J$2:$J986=B121)*(ROW('Списки блоков'!$J$2:$J986)&lt;&gt;ROW('Списки блоков'!$J$3)),0),0)),"","МП,")
&amp;IF(ISERROR(MATCH(1,INDEX(('Списки блоков'!$K$2:$K986=B121)*(ROW('Списки блоков'!$K$2:$K986)&lt;&gt;ROW('Списки блоков'!$K$3)),0),0)),"","Профорги,")
&amp;IF(ISERROR(MATCH(1,INDEX(('Списки блоков'!$L$2:$L986=B121)*(ROW('Списки блоков'!$L$2:$L986)&lt;&gt;ROW('Списки блоков'!$L$3)),0),0)),"","Спонсоры,")
&amp;IF(ISERROR(MATCH(1,INDEX(('Списки блоков'!$M$2:$M986=B121)*(ROW('Списки блоков'!$M$2:$M986)&lt;&gt;ROW('Списки блоков'!$M$3)),0),0)),"","Склад,")
&amp;IF(ISERROR(MATCH(1,INDEX(('Списки блоков'!$N$2:$N986=B121)*(ROW('Списки блоков'!$N$2:$N986)&lt;&gt;ROW('Списки блоков'!$N$3)),0),0)),"","Сценаристы,")
&amp;IF(ISERROR(MATCH(1,INDEX(('Списки блоков'!$O$2:$O986=B121)*(ROW('Списки блоков'!$O$2:$O986)&lt;&gt;ROW('Списки блоков'!$O$3)),0),0)),"","Техники,")
&amp;IF(ISERROR(MATCH(1,INDEX(('Списки блоков'!$P$2:$P986=B121)*(ROW('Списки блоков'!$P$2:$P986)&lt;&gt;ROW('Списки блоков'!$P$3)),0),0)),"","УРС,")
&amp;IF(ISERROR(MATCH(1,INDEX(('Списки блоков'!$Q$2:$Q986=B121)*(ROW('Списки блоков'!$Q$2:$Q986)&lt;&gt;ROW('Списки блоков'!$Q$3)),0),0)),"","Фото,")
&amp;IF(ISERROR(MATCH(1,INDEX((#REF!=B121)*(ROW(#REF!)&lt;&gt;ROW(#REF!)),0),0)),"","ЭкоБлок,")
&amp;IF(ISERROR(MATCH(1,INDEX(('Списки блоков'!$R$2:$R986=B121)*(ROW('Списки блоков'!$R$2:$R986)&lt;&gt;ROW('Списки блоков'!$R$3)),0),0)),"","HR,")
&amp;IF(ISERROR(MATCH(1,INDEX(('Списки блоков'!$S$2:$S986=B121)*(ROW('Списки блоков'!$S$2:$S986)&lt;&gt;ROW('Списки блоков'!$S$3)),0),0)),"","Instagram,")
&amp;IF(ISERROR(MATCH(1,INDEX(('Списки блоков'!$T$2:$T986=B121)*(ROW('Списки блоков'!$T$2:$T986)&lt;&gt;ROW('Списки блоков'!$T$3)),0),0)),"","Zachёt,")
&amp;IF(ISERROR(MATCH(1,INDEX(('Списки блоков'!$U$2:$U986=B121)*(ROW('Списки блоков'!$U$2:$U986)&lt;&gt;ROW('Списки блоков'!$U$3)),0),0)),"","IT,")
&amp;IF(ISERROR(MATCH(1,INDEX(('Списки блоков'!$V$2:$V986=B121)*(ROW('Списки блоков'!$V$2:$V986)&lt;&gt;ROW('Списки блоков'!$V$3)),0),0)),"","ДК,")
</f>
        <v>ИнфоБлок,Техники,</v>
      </c>
      <c r="F121" s="14">
        <v>8.9054447547E10</v>
      </c>
      <c r="G121" s="52" t="s">
        <v>594</v>
      </c>
      <c r="H121" s="26" t="s">
        <v>595</v>
      </c>
      <c r="I121" s="41" t="s">
        <v>596</v>
      </c>
      <c r="J121" s="6" t="s">
        <v>22</v>
      </c>
    </row>
    <row r="122">
      <c r="A122" s="47" t="s">
        <v>597</v>
      </c>
      <c r="B122" s="2" t="str">
        <f t="shared" si="7"/>
        <v>Семин Максим</v>
      </c>
      <c r="C122" s="9">
        <v>107.0</v>
      </c>
      <c r="D122" s="10" t="s">
        <v>50</v>
      </c>
      <c r="E122" s="2" t="str">
        <f t="array" ref="E122">IF(ISERROR(MATCH(1,INDEX(('Списки блоков'!$B$2:$B986=B122)*(ROW('Списки блоков'!$B$2:$B986)&lt;&gt;ROW('Списки блоков'!$B$3)),0),0)),"","БДНС,")
&amp;IF(ISERROR(MATCH(1,INDEX(('Списки блоков'!$C$2:$C986=B122)*(ROW('Списки блоков'!$C$2:$C986)&lt;&gt;ROW('Списки блоков'!$C$3)),0),0)),"","Видеолаба,")
&amp;IF(ISERROR(MATCH(1,INDEX(('Списки блоков'!$D$2:$D986=B122)*(ROW('Списки блоков'!$D$2:$D986)&lt;&gt;ROW('Списки блоков'!$D$3)),0),0)),"","Декораторы,")
&amp;IF(ISERROR(MATCH(1,INDEX(('Списки блоков'!$E$2:$E986=B122)*(ROW('Списки блоков'!$E$2:$E986)&lt;&gt;ROW('Списки блоков'!$E$3)),0),0)),"","Дизайн,")
&amp;IF(ISERROR(MATCH(1,INDEX(('Списки блоков'!$F$2:$F986=B122)*(ROW('Списки блоков'!$F$2:$F986)&lt;&gt;ROW('Списки блоков'!$F$3)),0),0)),"","Досуг,")
&amp;IF(ISERROR(MATCH(1,INDEX(('Списки блоков'!$G$2:$G986=B122)*(ROW('Списки блоков'!$G$2:$G986)&lt;&gt;ROW('Списки блоков'!$G$3)),0),0)),"","Закупки,")
&amp;IF(ISERROR(MATCH(1,INDEX(('Списки блоков'!$H$2:$H986=B122)*(ROW('Списки блоков'!$H$2:$H986)&lt;&gt;ROW('Списки блоков'!$H$3)),0),0)),"","ИнфоБлок,")
&amp;IF(ISERROR(MATCH(1,INDEX(('Списки блоков'!$I$2:$I986=B122)*(ROW('Списки блоков'!$I$2:$I986)&lt;&gt;ROW('Списки блоков'!$I$3)),0),0)),"","КГ,")
&amp;IF(ISERROR(MATCH(1,INDEX(('Списки блоков'!$J$2:$J986=B122)*(ROW('Списки блоков'!$J$2:$J986)&lt;&gt;ROW('Списки блоков'!$J$3)),0),0)),"","МП,")
&amp;IF(ISERROR(MATCH(1,INDEX(('Списки блоков'!$K$2:$K986=B122)*(ROW('Списки блоков'!$K$2:$K986)&lt;&gt;ROW('Списки блоков'!$K$3)),0),0)),"","Профорги,")
&amp;IF(ISERROR(MATCH(1,INDEX(('Списки блоков'!$L$2:$L986=B122)*(ROW('Списки блоков'!$L$2:$L986)&lt;&gt;ROW('Списки блоков'!$L$3)),0),0)),"","Спонсоры,")
&amp;IF(ISERROR(MATCH(1,INDEX(('Списки блоков'!$M$2:$M986=B122)*(ROW('Списки блоков'!$M$2:$M986)&lt;&gt;ROW('Списки блоков'!$M$3)),0),0)),"","Склад,")
&amp;IF(ISERROR(MATCH(1,INDEX(('Списки блоков'!$N$2:$N986=B122)*(ROW('Списки блоков'!$N$2:$N986)&lt;&gt;ROW('Списки блоков'!$N$3)),0),0)),"","Сценаристы,")
&amp;IF(ISERROR(MATCH(1,INDEX(('Списки блоков'!$O$2:$O986=B122)*(ROW('Списки блоков'!$O$2:$O986)&lt;&gt;ROW('Списки блоков'!$O$3)),0),0)),"","Техники,")
&amp;IF(ISERROR(MATCH(1,INDEX(('Списки блоков'!$P$2:$P986=B122)*(ROW('Списки блоков'!$P$2:$P986)&lt;&gt;ROW('Списки блоков'!$P$3)),0),0)),"","УРС,")
&amp;IF(ISERROR(MATCH(1,INDEX(('Списки блоков'!$Q$2:$Q986=B122)*(ROW('Списки блоков'!$Q$2:$Q986)&lt;&gt;ROW('Списки блоков'!$Q$3)),0),0)),"","Фото,")
&amp;IF(ISERROR(MATCH(1,INDEX((#REF!=B122)*(ROW(#REF!)&lt;&gt;ROW(#REF!)),0),0)),"","ЭкоБлок,")
&amp;IF(ISERROR(MATCH(1,INDEX(('Списки блоков'!$R$2:$R986=B122)*(ROW('Списки блоков'!$R$2:$R986)&lt;&gt;ROW('Списки блоков'!$R$3)),0),0)),"","HR,")
&amp;IF(ISERROR(MATCH(1,INDEX(('Списки блоков'!$S$2:$S986=B122)*(ROW('Списки блоков'!$S$2:$S986)&lt;&gt;ROW('Списки блоков'!$S$3)),0),0)),"","Instagram,")
&amp;IF(ISERROR(MATCH(1,INDEX(('Списки блоков'!$T$2:$T986=B122)*(ROW('Списки блоков'!$T$2:$T986)&lt;&gt;ROW('Списки блоков'!$T$3)),0),0)),"","Zachёt,")
&amp;IF(ISERROR(MATCH(1,INDEX(('Списки блоков'!$U$2:$U986=B122)*(ROW('Списки блоков'!$U$2:$U986)&lt;&gt;ROW('Списки блоков'!$U$3)),0),0)),"","IT,")
&amp;IF(ISERROR(MATCH(1,INDEX(('Списки блоков'!$V$2:$V986=B122)*(ROW('Списки блоков'!$V$2:$V986)&lt;&gt;ROW('Списки блоков'!$V$3)),0),0)),"","ДК,")
</f>
        <v>Склад,Техники,УРС,</v>
      </c>
      <c r="F122" s="14">
        <v>8.9197663816E10</v>
      </c>
      <c r="G122" s="42" t="s">
        <v>598</v>
      </c>
      <c r="H122" s="10" t="s">
        <v>599</v>
      </c>
      <c r="I122" s="43" t="s">
        <v>600</v>
      </c>
      <c r="J122" s="6" t="s">
        <v>22</v>
      </c>
    </row>
    <row r="123">
      <c r="A123" s="59" t="s">
        <v>601</v>
      </c>
      <c r="B123" s="2" t="str">
        <f t="shared" si="7"/>
        <v>Скабалланович Полина</v>
      </c>
      <c r="C123" s="9">
        <v>108.0</v>
      </c>
      <c r="D123" s="10" t="s">
        <v>602</v>
      </c>
      <c r="E123" s="2" t="str">
        <f t="array" ref="E123">IF(ISERROR(MATCH(1,INDEX(('Списки блоков'!$B$2:$B986=B123)*(ROW('Списки блоков'!$B$2:$B986)&lt;&gt;ROW('Списки блоков'!$B$3)),0),0)),"","БДНС,")
&amp;IF(ISERROR(MATCH(1,INDEX(('Списки блоков'!$C$2:$C986=B123)*(ROW('Списки блоков'!$C$2:$C986)&lt;&gt;ROW('Списки блоков'!$C$3)),0),0)),"","Видеолаба,")
&amp;IF(ISERROR(MATCH(1,INDEX(('Списки блоков'!$D$2:$D986=B123)*(ROW('Списки блоков'!$D$2:$D986)&lt;&gt;ROW('Списки блоков'!$D$3)),0),0)),"","Декораторы,")
&amp;IF(ISERROR(MATCH(1,INDEX(('Списки блоков'!$E$2:$E986=B123)*(ROW('Списки блоков'!$E$2:$E986)&lt;&gt;ROW('Списки блоков'!$E$3)),0),0)),"","Дизайн,")
&amp;IF(ISERROR(MATCH(1,INDEX(('Списки блоков'!$F$2:$F986=B123)*(ROW('Списки блоков'!$F$2:$F986)&lt;&gt;ROW('Списки блоков'!$F$3)),0),0)),"","Досуг,")
&amp;IF(ISERROR(MATCH(1,INDEX(('Списки блоков'!$G$2:$G986=B123)*(ROW('Списки блоков'!$G$2:$G986)&lt;&gt;ROW('Списки блоков'!$G$3)),0),0)),"","Закупки,")
&amp;IF(ISERROR(MATCH(1,INDEX(('Списки блоков'!$H$2:$H986=B123)*(ROW('Списки блоков'!$H$2:$H986)&lt;&gt;ROW('Списки блоков'!$H$3)),0),0)),"","ИнфоБлок,")
&amp;IF(ISERROR(MATCH(1,INDEX(('Списки блоков'!$I$2:$I986=B123)*(ROW('Списки блоков'!$I$2:$I986)&lt;&gt;ROW('Списки блоков'!$I$3)),0),0)),"","КГ,")
&amp;IF(ISERROR(MATCH(1,INDEX(('Списки блоков'!$J$2:$J986=B123)*(ROW('Списки блоков'!$J$2:$J986)&lt;&gt;ROW('Списки блоков'!$J$3)),0),0)),"","МП,")
&amp;IF(ISERROR(MATCH(1,INDEX(('Списки блоков'!$K$2:$K986=B123)*(ROW('Списки блоков'!$K$2:$K986)&lt;&gt;ROW('Списки блоков'!$K$3)),0),0)),"","Профорги,")
&amp;IF(ISERROR(MATCH(1,INDEX(('Списки блоков'!$L$2:$L986=B123)*(ROW('Списки блоков'!$L$2:$L986)&lt;&gt;ROW('Списки блоков'!$L$3)),0),0)),"","Спонсоры,")
&amp;IF(ISERROR(MATCH(1,INDEX(('Списки блоков'!$M$2:$M986=B123)*(ROW('Списки блоков'!$M$2:$M986)&lt;&gt;ROW('Списки блоков'!$M$3)),0),0)),"","Склад,")
&amp;IF(ISERROR(MATCH(1,INDEX(('Списки блоков'!$N$2:$N986=B123)*(ROW('Списки блоков'!$N$2:$N986)&lt;&gt;ROW('Списки блоков'!$N$3)),0),0)),"","Сценаристы,")
&amp;IF(ISERROR(MATCH(1,INDEX(('Списки блоков'!$O$2:$O986=B123)*(ROW('Списки блоков'!$O$2:$O986)&lt;&gt;ROW('Списки блоков'!$O$3)),0),0)),"","Техники,")
&amp;IF(ISERROR(MATCH(1,INDEX(('Списки блоков'!$P$2:$P986=B123)*(ROW('Списки блоков'!$P$2:$P986)&lt;&gt;ROW('Списки блоков'!$P$3)),0),0)),"","УРС,")
&amp;IF(ISERROR(MATCH(1,INDEX(('Списки блоков'!$Q$2:$Q986=B123)*(ROW('Списки блоков'!$Q$2:$Q986)&lt;&gt;ROW('Списки блоков'!$Q$3)),0),0)),"","Фото,")
&amp;IF(ISERROR(MATCH(1,INDEX((#REF!=B123)*(ROW(#REF!)&lt;&gt;ROW(#REF!)),0),0)),"","ЭкоБлок,")
&amp;IF(ISERROR(MATCH(1,INDEX(('Списки блоков'!$R$2:$R986=B123)*(ROW('Списки блоков'!$R$2:$R986)&lt;&gt;ROW('Списки блоков'!$R$3)),0),0)),"","HR,")
&amp;IF(ISERROR(MATCH(1,INDEX(('Списки блоков'!$S$2:$S986=B123)*(ROW('Списки блоков'!$S$2:$S986)&lt;&gt;ROW('Списки блоков'!$S$3)),0),0)),"","Instagram,")
&amp;IF(ISERROR(MATCH(1,INDEX(('Списки блоков'!$T$2:$T986=B123)*(ROW('Списки блоков'!$T$2:$T986)&lt;&gt;ROW('Списки блоков'!$T$3)),0),0)),"","Zachёt,")
&amp;IF(ISERROR(MATCH(1,INDEX(('Списки блоков'!$U$2:$U986=B123)*(ROW('Списки блоков'!$U$2:$U986)&lt;&gt;ROW('Списки блоков'!$U$3)),0),0)),"","IT,")
&amp;IF(ISERROR(MATCH(1,INDEX(('Списки блоков'!$V$2:$V986=B123)*(ROW('Списки блоков'!$V$2:$V986)&lt;&gt;ROW('Списки блоков'!$V$3)),0),0)),"","ДК,")
</f>
        <v>МП,Профорги,Сценаристы,</v>
      </c>
      <c r="F123" s="11">
        <v>8.9169996498E10</v>
      </c>
      <c r="G123" s="52" t="s">
        <v>603</v>
      </c>
      <c r="H123" s="23" t="s">
        <v>604</v>
      </c>
      <c r="I123" s="41" t="s">
        <v>605</v>
      </c>
      <c r="J123" s="6" t="s">
        <v>22</v>
      </c>
    </row>
    <row r="124">
      <c r="A124" s="58" t="s">
        <v>606</v>
      </c>
      <c r="B124" s="2" t="str">
        <f t="shared" si="7"/>
        <v>Скаленко Юлия</v>
      </c>
      <c r="C124" s="3">
        <v>204.0</v>
      </c>
      <c r="D124" s="2" t="s">
        <v>607</v>
      </c>
      <c r="E124" s="2" t="str">
        <f t="array" ref="E124">IF(ISERROR(MATCH(1,INDEX(('Списки блоков'!$B$2:$B986=B124)*(ROW('Списки блоков'!$B$2:$B986)&lt;&gt;ROW('Списки блоков'!$B$3)),0),0)),"","БДНС,")
&amp;IF(ISERROR(MATCH(1,INDEX(('Списки блоков'!$C$2:$C986=B124)*(ROW('Списки блоков'!$C$2:$C986)&lt;&gt;ROW('Списки блоков'!$C$3)),0),0)),"","Видеолаба,")
&amp;IF(ISERROR(MATCH(1,INDEX(('Списки блоков'!$D$2:$D986=B124)*(ROW('Списки блоков'!$D$2:$D986)&lt;&gt;ROW('Списки блоков'!$D$3)),0),0)),"","Декораторы,")
&amp;IF(ISERROR(MATCH(1,INDEX(('Списки блоков'!$E$2:$E986=B124)*(ROW('Списки блоков'!$E$2:$E986)&lt;&gt;ROW('Списки блоков'!$E$3)),0),0)),"","Дизайн,")
&amp;IF(ISERROR(MATCH(1,INDEX(('Списки блоков'!$F$2:$F986=B124)*(ROW('Списки блоков'!$F$2:$F986)&lt;&gt;ROW('Списки блоков'!$F$3)),0),0)),"","Досуг,")
&amp;IF(ISERROR(MATCH(1,INDEX(('Списки блоков'!$G$2:$G986=B124)*(ROW('Списки блоков'!$G$2:$G986)&lt;&gt;ROW('Списки блоков'!$G$3)),0),0)),"","Закупки,")
&amp;IF(ISERROR(MATCH(1,INDEX(('Списки блоков'!$H$2:$H986=B124)*(ROW('Списки блоков'!$H$2:$H986)&lt;&gt;ROW('Списки блоков'!$H$3)),0),0)),"","ИнфоБлок,")
&amp;IF(ISERROR(MATCH(1,INDEX(('Списки блоков'!$I$2:$I986=B124)*(ROW('Списки блоков'!$I$2:$I986)&lt;&gt;ROW('Списки блоков'!$I$3)),0),0)),"","КГ,")
&amp;IF(ISERROR(MATCH(1,INDEX(('Списки блоков'!$J$2:$J986=B124)*(ROW('Списки блоков'!$J$2:$J986)&lt;&gt;ROW('Списки блоков'!$J$3)),0),0)),"","МП,")
&amp;IF(ISERROR(MATCH(1,INDEX(('Списки блоков'!$K$2:$K986=B124)*(ROW('Списки блоков'!$K$2:$K986)&lt;&gt;ROW('Списки блоков'!$K$3)),0),0)),"","Профорги,")
&amp;IF(ISERROR(MATCH(1,INDEX(('Списки блоков'!$L$2:$L986=B124)*(ROW('Списки блоков'!$L$2:$L986)&lt;&gt;ROW('Списки блоков'!$L$3)),0),0)),"","Спонсоры,")
&amp;IF(ISERROR(MATCH(1,INDEX(('Списки блоков'!$M$2:$M986=B124)*(ROW('Списки блоков'!$M$2:$M986)&lt;&gt;ROW('Списки блоков'!$M$3)),0),0)),"","Склад,")
&amp;IF(ISERROR(MATCH(1,INDEX(('Списки блоков'!$N$2:$N986=B124)*(ROW('Списки блоков'!$N$2:$N986)&lt;&gt;ROW('Списки блоков'!$N$3)),0),0)),"","Сценаристы,")
&amp;IF(ISERROR(MATCH(1,INDEX(('Списки блоков'!$O$2:$O986=B124)*(ROW('Списки блоков'!$O$2:$O986)&lt;&gt;ROW('Списки блоков'!$O$3)),0),0)),"","Техники,")
&amp;IF(ISERROR(MATCH(1,INDEX(('Списки блоков'!$P$2:$P986=B124)*(ROW('Списки блоков'!$P$2:$P986)&lt;&gt;ROW('Списки блоков'!$P$3)),0),0)),"","УРС,")
&amp;IF(ISERROR(MATCH(1,INDEX(('Списки блоков'!$Q$2:$Q986=B124)*(ROW('Списки блоков'!$Q$2:$Q986)&lt;&gt;ROW('Списки блоков'!$Q$3)),0),0)),"","Фото,")
&amp;IF(ISERROR(MATCH(1,INDEX((#REF!=B124)*(ROW(#REF!)&lt;&gt;ROW(#REF!)),0),0)),"","ЭкоБлок,")
&amp;IF(ISERROR(MATCH(1,INDEX(('Списки блоков'!$R$2:$R986=B124)*(ROW('Списки блоков'!$R$2:$R986)&lt;&gt;ROW('Списки блоков'!$R$3)),0),0)),"","HR,")
&amp;IF(ISERROR(MATCH(1,INDEX(('Списки блоков'!$S$2:$S986=B124)*(ROW('Списки блоков'!$S$2:$S986)&lt;&gt;ROW('Списки блоков'!$S$3)),0),0)),"","Instagram,")
&amp;IF(ISERROR(MATCH(1,INDEX(('Списки блоков'!$T$2:$T986=B124)*(ROW('Списки блоков'!$T$2:$T986)&lt;&gt;ROW('Списки блоков'!$T$3)),0),0)),"","Zachёt,")
&amp;IF(ISERROR(MATCH(1,INDEX(('Списки блоков'!$U$2:$U986=B124)*(ROW('Списки блоков'!$U$2:$U986)&lt;&gt;ROW('Списки блоков'!$U$3)),0),0)),"","IT,")
&amp;IF(ISERROR(MATCH(1,INDEX(('Списки блоков'!$V$2:$V986=B124)*(ROW('Списки блоков'!$V$2:$V986)&lt;&gt;ROW('Списки блоков'!$V$3)),0),0)),"","ДК,")
</f>
        <v>Декораторы,Дизайн,Instagram,</v>
      </c>
      <c r="F124" s="4">
        <v>8.9119983445E10</v>
      </c>
      <c r="G124" s="50" t="s">
        <v>608</v>
      </c>
      <c r="H124" s="30" t="s">
        <v>609</v>
      </c>
      <c r="I124" s="51" t="s">
        <v>610</v>
      </c>
      <c r="J124" s="7" t="s">
        <v>22</v>
      </c>
    </row>
    <row r="125">
      <c r="A125" s="60" t="s">
        <v>611</v>
      </c>
      <c r="B125" s="2" t="str">
        <f t="shared" si="7"/>
        <v>Скотникова Елизавета</v>
      </c>
      <c r="C125" s="9">
        <v>201.0</v>
      </c>
      <c r="D125" s="10" t="s">
        <v>612</v>
      </c>
      <c r="E125" s="2" t="str">
        <f t="array" ref="E125">IF(ISERROR(MATCH(1,INDEX(('Списки блоков'!$B$2:$B986=B125)*(ROW('Списки блоков'!$B$2:$B986)&lt;&gt;ROW('Списки блоков'!$B$3)),0),0)),"","БДНС,")
&amp;IF(ISERROR(MATCH(1,INDEX(('Списки блоков'!$C$2:$C986=B125)*(ROW('Списки блоков'!$C$2:$C986)&lt;&gt;ROW('Списки блоков'!$C$3)),0),0)),"","Видеолаба,")
&amp;IF(ISERROR(MATCH(1,INDEX(('Списки блоков'!$D$2:$D986=B125)*(ROW('Списки блоков'!$D$2:$D986)&lt;&gt;ROW('Списки блоков'!$D$3)),0),0)),"","Декораторы,")
&amp;IF(ISERROR(MATCH(1,INDEX(('Списки блоков'!$E$2:$E986=B125)*(ROW('Списки блоков'!$E$2:$E986)&lt;&gt;ROW('Списки блоков'!$E$3)),0),0)),"","Дизайн,")
&amp;IF(ISERROR(MATCH(1,INDEX(('Списки блоков'!$F$2:$F986=B125)*(ROW('Списки блоков'!$F$2:$F986)&lt;&gt;ROW('Списки блоков'!$F$3)),0),0)),"","Досуг,")
&amp;IF(ISERROR(MATCH(1,INDEX(('Списки блоков'!$G$2:$G986=B125)*(ROW('Списки блоков'!$G$2:$G986)&lt;&gt;ROW('Списки блоков'!$G$3)),0),0)),"","Закупки,")
&amp;IF(ISERROR(MATCH(1,INDEX(('Списки блоков'!$H$2:$H986=B125)*(ROW('Списки блоков'!$H$2:$H986)&lt;&gt;ROW('Списки блоков'!$H$3)),0),0)),"","ИнфоБлок,")
&amp;IF(ISERROR(MATCH(1,INDEX(('Списки блоков'!$I$2:$I986=B125)*(ROW('Списки блоков'!$I$2:$I986)&lt;&gt;ROW('Списки блоков'!$I$3)),0),0)),"","КГ,")
&amp;IF(ISERROR(MATCH(1,INDEX(('Списки блоков'!$J$2:$J986=B125)*(ROW('Списки блоков'!$J$2:$J986)&lt;&gt;ROW('Списки блоков'!$J$3)),0),0)),"","МП,")
&amp;IF(ISERROR(MATCH(1,INDEX(('Списки блоков'!$K$2:$K986=B125)*(ROW('Списки блоков'!$K$2:$K986)&lt;&gt;ROW('Списки блоков'!$K$3)),0),0)),"","Профорги,")
&amp;IF(ISERROR(MATCH(1,INDEX(('Списки блоков'!$L$2:$L986=B125)*(ROW('Списки блоков'!$L$2:$L986)&lt;&gt;ROW('Списки блоков'!$L$3)),0),0)),"","Спонсоры,")
&amp;IF(ISERROR(MATCH(1,INDEX(('Списки блоков'!$M$2:$M986=B125)*(ROW('Списки блоков'!$M$2:$M986)&lt;&gt;ROW('Списки блоков'!$M$3)),0),0)),"","Склад,")
&amp;IF(ISERROR(MATCH(1,INDEX(('Списки блоков'!$N$2:$N986=B125)*(ROW('Списки блоков'!$N$2:$N986)&lt;&gt;ROW('Списки блоков'!$N$3)),0),0)),"","Сценаристы,")
&amp;IF(ISERROR(MATCH(1,INDEX(('Списки блоков'!$O$2:$O986=B125)*(ROW('Списки блоков'!$O$2:$O986)&lt;&gt;ROW('Списки блоков'!$O$3)),0),0)),"","Техники,")
&amp;IF(ISERROR(MATCH(1,INDEX(('Списки блоков'!$P$2:$P986=B125)*(ROW('Списки блоков'!$P$2:$P986)&lt;&gt;ROW('Списки блоков'!$P$3)),0),0)),"","УРС,")
&amp;IF(ISERROR(MATCH(1,INDEX(('Списки блоков'!$Q$2:$Q986=B125)*(ROW('Списки блоков'!$Q$2:$Q986)&lt;&gt;ROW('Списки блоков'!$Q$3)),0),0)),"","Фото,")
&amp;IF(ISERROR(MATCH(1,INDEX((#REF!=B125)*(ROW(#REF!)&lt;&gt;ROW(#REF!)),0),0)),"","ЭкоБлок,")
&amp;IF(ISERROR(MATCH(1,INDEX(('Списки блоков'!$R$2:$R986=B125)*(ROW('Списки блоков'!$R$2:$R986)&lt;&gt;ROW('Списки блоков'!$R$3)),0),0)),"","HR,")
&amp;IF(ISERROR(MATCH(1,INDEX(('Списки блоков'!$S$2:$S986=B125)*(ROW('Списки блоков'!$S$2:$S986)&lt;&gt;ROW('Списки блоков'!$S$3)),0),0)),"","Instagram,")
&amp;IF(ISERROR(MATCH(1,INDEX(('Списки блоков'!$T$2:$T986=B125)*(ROW('Списки блоков'!$T$2:$T986)&lt;&gt;ROW('Списки блоков'!$T$3)),0),0)),"","Zachёt,")
&amp;IF(ISERROR(MATCH(1,INDEX(('Списки блоков'!$U$2:$U986=B125)*(ROW('Списки блоков'!$U$2:$U986)&lt;&gt;ROW('Списки блоков'!$U$3)),0),0)),"","IT,")
&amp;IF(ISERROR(MATCH(1,INDEX(('Списки блоков'!$V$2:$V986=B125)*(ROW('Списки блоков'!$V$2:$V986)&lt;&gt;ROW('Списки блоков'!$V$3)),0),0)),"","ДК,")
</f>
        <v>Instagram,</v>
      </c>
      <c r="F125" s="14">
        <v>8.9260800526E10</v>
      </c>
      <c r="G125" s="52" t="s">
        <v>613</v>
      </c>
      <c r="H125" s="22" t="s">
        <v>614</v>
      </c>
      <c r="I125" s="41" t="s">
        <v>615</v>
      </c>
      <c r="J125" s="6" t="s">
        <v>22</v>
      </c>
    </row>
    <row r="126">
      <c r="A126" s="30" t="s">
        <v>616</v>
      </c>
      <c r="B126" s="2" t="str">
        <f t="shared" si="7"/>
        <v>Слободин Дмитрий</v>
      </c>
      <c r="C126" s="3">
        <v>417.0</v>
      </c>
      <c r="D126" s="2" t="s">
        <v>40</v>
      </c>
      <c r="E126" s="2" t="str">
        <f t="array" ref="E126">IF(ISERROR(MATCH(1,INDEX(('Списки блоков'!$B$2:$B986=B126)*(ROW('Списки блоков'!$B$2:$B986)&lt;&gt;ROW('Списки блоков'!$B$3)),0),0)),"","БДНС,")
&amp;IF(ISERROR(MATCH(1,INDEX(('Списки блоков'!$C$2:$C986=B126)*(ROW('Списки блоков'!$C$2:$C986)&lt;&gt;ROW('Списки блоков'!$C$3)),0),0)),"","Видеолаба,")
&amp;IF(ISERROR(MATCH(1,INDEX(('Списки блоков'!$D$2:$D986=B126)*(ROW('Списки блоков'!$D$2:$D986)&lt;&gt;ROW('Списки блоков'!$D$3)),0),0)),"","Декораторы,")
&amp;IF(ISERROR(MATCH(1,INDEX(('Списки блоков'!$E$2:$E986=B126)*(ROW('Списки блоков'!$E$2:$E986)&lt;&gt;ROW('Списки блоков'!$E$3)),0),0)),"","Дизайн,")
&amp;IF(ISERROR(MATCH(1,INDEX(('Списки блоков'!$F$2:$F986=B126)*(ROW('Списки блоков'!$F$2:$F986)&lt;&gt;ROW('Списки блоков'!$F$3)),0),0)),"","Досуг,")
&amp;IF(ISERROR(MATCH(1,INDEX(('Списки блоков'!$G$2:$G986=B126)*(ROW('Списки блоков'!$G$2:$G986)&lt;&gt;ROW('Списки блоков'!$G$3)),0),0)),"","Закупки,")
&amp;IF(ISERROR(MATCH(1,INDEX(('Списки блоков'!$H$2:$H986=B126)*(ROW('Списки блоков'!$H$2:$H986)&lt;&gt;ROW('Списки блоков'!$H$3)),0),0)),"","ИнфоБлок,")
&amp;IF(ISERROR(MATCH(1,INDEX(('Списки блоков'!$I$2:$I986=B126)*(ROW('Списки блоков'!$I$2:$I986)&lt;&gt;ROW('Списки блоков'!$I$3)),0),0)),"","КГ,")
&amp;IF(ISERROR(MATCH(1,INDEX(('Списки блоков'!$J$2:$J986=B126)*(ROW('Списки блоков'!$J$2:$J986)&lt;&gt;ROW('Списки блоков'!$J$3)),0),0)),"","МП,")
&amp;IF(ISERROR(MATCH(1,INDEX(('Списки блоков'!$K$2:$K986=B126)*(ROW('Списки блоков'!$K$2:$K986)&lt;&gt;ROW('Списки блоков'!$K$3)),0),0)),"","Профорги,")
&amp;IF(ISERROR(MATCH(1,INDEX(('Списки блоков'!$L$2:$L986=B126)*(ROW('Списки блоков'!$L$2:$L986)&lt;&gt;ROW('Списки блоков'!$L$3)),0),0)),"","Спонсоры,")
&amp;IF(ISERROR(MATCH(1,INDEX(('Списки блоков'!$M$2:$M986=B126)*(ROW('Списки блоков'!$M$2:$M986)&lt;&gt;ROW('Списки блоков'!$M$3)),0),0)),"","Склад,")
&amp;IF(ISERROR(MATCH(1,INDEX(('Списки блоков'!$N$2:$N986=B126)*(ROW('Списки блоков'!$N$2:$N986)&lt;&gt;ROW('Списки блоков'!$N$3)),0),0)),"","Сценаристы,")
&amp;IF(ISERROR(MATCH(1,INDEX(('Списки блоков'!$O$2:$O986=B126)*(ROW('Списки блоков'!$O$2:$O986)&lt;&gt;ROW('Списки блоков'!$O$3)),0),0)),"","Техники,")
&amp;IF(ISERROR(MATCH(1,INDEX(('Списки блоков'!$P$2:$P986=B126)*(ROW('Списки блоков'!$P$2:$P986)&lt;&gt;ROW('Списки блоков'!$P$3)),0),0)),"","УРС,")
&amp;IF(ISERROR(MATCH(1,INDEX(('Списки блоков'!$Q$2:$Q986=B126)*(ROW('Списки блоков'!$Q$2:$Q986)&lt;&gt;ROW('Списки блоков'!$Q$3)),0),0)),"","Фото,")
&amp;IF(ISERROR(MATCH(1,INDEX((#REF!=B126)*(ROW(#REF!)&lt;&gt;ROW(#REF!)),0),0)),"","ЭкоБлок,")
&amp;IF(ISERROR(MATCH(1,INDEX(('Списки блоков'!$R$2:$R986=B126)*(ROW('Списки блоков'!$R$2:$R986)&lt;&gt;ROW('Списки блоков'!$R$3)),0),0)),"","HR,")
&amp;IF(ISERROR(MATCH(1,INDEX(('Списки блоков'!$S$2:$S986=B126)*(ROW('Списки блоков'!$S$2:$S986)&lt;&gt;ROW('Списки блоков'!$S$3)),0),0)),"","Instagram,")
&amp;IF(ISERROR(MATCH(1,INDEX(('Списки блоков'!$T$2:$T986=B126)*(ROW('Списки блоков'!$T$2:$T986)&lt;&gt;ROW('Списки блоков'!$T$3)),0),0)),"","Zachёt,")
&amp;IF(ISERROR(MATCH(1,INDEX(('Списки блоков'!$U$2:$U986=B126)*(ROW('Списки блоков'!$U$2:$U986)&lt;&gt;ROW('Списки блоков'!$U$3)),0),0)),"","IT,")
&amp;IF(ISERROR(MATCH(1,INDEX(('Списки блоков'!$V$2:$V986=B126)*(ROW('Списки блоков'!$V$2:$V986)&lt;&gt;ROW('Списки блоков'!$V$3)),0),0)),"","ДК,")
</f>
        <v>Закупки,Склад,</v>
      </c>
      <c r="F126" s="4">
        <v>8.9024491431E10</v>
      </c>
      <c r="G126" s="50" t="s">
        <v>617</v>
      </c>
      <c r="H126" s="30" t="s">
        <v>618</v>
      </c>
      <c r="I126" s="51" t="s">
        <v>619</v>
      </c>
      <c r="J126" s="7" t="s">
        <v>22</v>
      </c>
    </row>
    <row r="127">
      <c r="A127" s="22" t="s">
        <v>620</v>
      </c>
      <c r="B127" s="2" t="str">
        <f t="shared" si="7"/>
        <v>Среданович Мария</v>
      </c>
      <c r="C127" s="9">
        <v>318.0</v>
      </c>
      <c r="D127" s="10" t="s">
        <v>621</v>
      </c>
      <c r="E127" s="2" t="str">
        <f t="array" ref="E127">IF(ISERROR(MATCH(1,INDEX(('Списки блоков'!$B$2:$B986=B127)*(ROW('Списки блоков'!$B$2:$B986)&lt;&gt;ROW('Списки блоков'!$B$3)),0),0)),"","БДНС,")
&amp;IF(ISERROR(MATCH(1,INDEX(('Списки блоков'!$C$2:$C986=B127)*(ROW('Списки блоков'!$C$2:$C986)&lt;&gt;ROW('Списки блоков'!$C$3)),0),0)),"","Видеолаба,")
&amp;IF(ISERROR(MATCH(1,INDEX(('Списки блоков'!$D$2:$D986=B127)*(ROW('Списки блоков'!$D$2:$D986)&lt;&gt;ROW('Списки блоков'!$D$3)),0),0)),"","Декораторы,")
&amp;IF(ISERROR(MATCH(1,INDEX(('Списки блоков'!$E$2:$E986=B127)*(ROW('Списки блоков'!$E$2:$E986)&lt;&gt;ROW('Списки блоков'!$E$3)),0),0)),"","Дизайн,")
&amp;IF(ISERROR(MATCH(1,INDEX(('Списки блоков'!$F$2:$F986=B127)*(ROW('Списки блоков'!$F$2:$F986)&lt;&gt;ROW('Списки блоков'!$F$3)),0),0)),"","Досуг,")
&amp;IF(ISERROR(MATCH(1,INDEX(('Списки блоков'!$G$2:$G986=B127)*(ROW('Списки блоков'!$G$2:$G986)&lt;&gt;ROW('Списки блоков'!$G$3)),0),0)),"","Закупки,")
&amp;IF(ISERROR(MATCH(1,INDEX(('Списки блоков'!$H$2:$H986=B127)*(ROW('Списки блоков'!$H$2:$H986)&lt;&gt;ROW('Списки блоков'!$H$3)),0),0)),"","ИнфоБлок,")
&amp;IF(ISERROR(MATCH(1,INDEX(('Списки блоков'!$I$2:$I986=B127)*(ROW('Списки блоков'!$I$2:$I986)&lt;&gt;ROW('Списки блоков'!$I$3)),0),0)),"","КГ,")
&amp;IF(ISERROR(MATCH(1,INDEX(('Списки блоков'!$J$2:$J986=B127)*(ROW('Списки блоков'!$J$2:$J986)&lt;&gt;ROW('Списки блоков'!$J$3)),0),0)),"","МП,")
&amp;IF(ISERROR(MATCH(1,INDEX(('Списки блоков'!$K$2:$K986=B127)*(ROW('Списки блоков'!$K$2:$K986)&lt;&gt;ROW('Списки блоков'!$K$3)),0),0)),"","Профорги,")
&amp;IF(ISERROR(MATCH(1,INDEX(('Списки блоков'!$L$2:$L986=B127)*(ROW('Списки блоков'!$L$2:$L986)&lt;&gt;ROW('Списки блоков'!$L$3)),0),0)),"","Спонсоры,")
&amp;IF(ISERROR(MATCH(1,INDEX(('Списки блоков'!$M$2:$M986=B127)*(ROW('Списки блоков'!$M$2:$M986)&lt;&gt;ROW('Списки блоков'!$M$3)),0),0)),"","Склад,")
&amp;IF(ISERROR(MATCH(1,INDEX(('Списки блоков'!$N$2:$N986=B127)*(ROW('Списки блоков'!$N$2:$N986)&lt;&gt;ROW('Списки блоков'!$N$3)),0),0)),"","Сценаристы,")
&amp;IF(ISERROR(MATCH(1,INDEX(('Списки блоков'!$O$2:$O986=B127)*(ROW('Списки блоков'!$O$2:$O986)&lt;&gt;ROW('Списки блоков'!$O$3)),0),0)),"","Техники,")
&amp;IF(ISERROR(MATCH(1,INDEX(('Списки блоков'!$P$2:$P986=B127)*(ROW('Списки блоков'!$P$2:$P986)&lt;&gt;ROW('Списки блоков'!$P$3)),0),0)),"","УРС,")
&amp;IF(ISERROR(MATCH(1,INDEX(('Списки блоков'!$Q$2:$Q986=B127)*(ROW('Списки блоков'!$Q$2:$Q986)&lt;&gt;ROW('Списки блоков'!$Q$3)),0),0)),"","Фото,")
&amp;IF(ISERROR(MATCH(1,INDEX((#REF!=B127)*(ROW(#REF!)&lt;&gt;ROW(#REF!)),0),0)),"","ЭкоБлок,")
&amp;IF(ISERROR(MATCH(1,INDEX(('Списки блоков'!$R$2:$R986=B127)*(ROW('Списки блоков'!$R$2:$R986)&lt;&gt;ROW('Списки блоков'!$R$3)),0),0)),"","HR,")
&amp;IF(ISERROR(MATCH(1,INDEX(('Списки блоков'!$S$2:$S986=B127)*(ROW('Списки блоков'!$S$2:$S986)&lt;&gt;ROW('Списки блоков'!$S$3)),0),0)),"","Instagram,")
&amp;IF(ISERROR(MATCH(1,INDEX(('Списки блоков'!$T$2:$T986=B127)*(ROW('Списки блоков'!$T$2:$T986)&lt;&gt;ROW('Списки блоков'!$T$3)),0),0)),"","Zachёt,")
&amp;IF(ISERROR(MATCH(1,INDEX(('Списки блоков'!$U$2:$U986=B127)*(ROW('Списки блоков'!$U$2:$U986)&lt;&gt;ROW('Списки блоков'!$U$3)),0),0)),"","IT,")
&amp;IF(ISERROR(MATCH(1,INDEX(('Списки блоков'!$V$2:$V986=B127)*(ROW('Списки блоков'!$V$2:$V986)&lt;&gt;ROW('Списки блоков'!$V$3)),0),0)),"","ДК,")
</f>
        <v>Дизайн,</v>
      </c>
      <c r="F127" s="11">
        <v>8.9253453362E10</v>
      </c>
      <c r="G127" s="40" t="s">
        <v>622</v>
      </c>
      <c r="H127" s="22" t="s">
        <v>622</v>
      </c>
      <c r="I127" s="41" t="s">
        <v>623</v>
      </c>
      <c r="J127" s="6" t="s">
        <v>22</v>
      </c>
    </row>
    <row r="128">
      <c r="A128" s="44" t="s">
        <v>624</v>
      </c>
      <c r="B128" s="2" t="str">
        <f t="shared" si="7"/>
        <v>Стрелкина Ирина</v>
      </c>
      <c r="C128" s="3">
        <v>321.0</v>
      </c>
      <c r="D128" s="2" t="s">
        <v>50</v>
      </c>
      <c r="E128" s="2" t="str">
        <f t="array" ref="E128">IF(ISERROR(MATCH(1,INDEX(('Списки блоков'!$B$2:$B986=B128)*(ROW('Списки блоков'!$B$2:$B986)&lt;&gt;ROW('Списки блоков'!$B$3)),0),0)),"","БДНС,")
&amp;IF(ISERROR(MATCH(1,INDEX(('Списки блоков'!$C$2:$C986=B128)*(ROW('Списки блоков'!$C$2:$C986)&lt;&gt;ROW('Списки блоков'!$C$3)),0),0)),"","Видеолаба,")
&amp;IF(ISERROR(MATCH(1,INDEX(('Списки блоков'!$D$2:$D986=B128)*(ROW('Списки блоков'!$D$2:$D986)&lt;&gt;ROW('Списки блоков'!$D$3)),0),0)),"","Декораторы,")
&amp;IF(ISERROR(MATCH(1,INDEX(('Списки блоков'!$E$2:$E986=B128)*(ROW('Списки блоков'!$E$2:$E986)&lt;&gt;ROW('Списки блоков'!$E$3)),0),0)),"","Дизайн,")
&amp;IF(ISERROR(MATCH(1,INDEX(('Списки блоков'!$F$2:$F986=B128)*(ROW('Списки блоков'!$F$2:$F986)&lt;&gt;ROW('Списки блоков'!$F$3)),0),0)),"","Досуг,")
&amp;IF(ISERROR(MATCH(1,INDEX(('Списки блоков'!$G$2:$G986=B128)*(ROW('Списки блоков'!$G$2:$G986)&lt;&gt;ROW('Списки блоков'!$G$3)),0),0)),"","Закупки,")
&amp;IF(ISERROR(MATCH(1,INDEX(('Списки блоков'!$H$2:$H986=B128)*(ROW('Списки блоков'!$H$2:$H986)&lt;&gt;ROW('Списки блоков'!$H$3)),0),0)),"","ИнфоБлок,")
&amp;IF(ISERROR(MATCH(1,INDEX(('Списки блоков'!$I$2:$I986=B128)*(ROW('Списки блоков'!$I$2:$I986)&lt;&gt;ROW('Списки блоков'!$I$3)),0),0)),"","КГ,")
&amp;IF(ISERROR(MATCH(1,INDEX(('Списки блоков'!$J$2:$J986=B128)*(ROW('Списки блоков'!$J$2:$J986)&lt;&gt;ROW('Списки блоков'!$J$3)),0),0)),"","МП,")
&amp;IF(ISERROR(MATCH(1,INDEX(('Списки блоков'!$K$2:$K986=B128)*(ROW('Списки блоков'!$K$2:$K986)&lt;&gt;ROW('Списки блоков'!$K$3)),0),0)),"","Профорги,")
&amp;IF(ISERROR(MATCH(1,INDEX(('Списки блоков'!$L$2:$L986=B128)*(ROW('Списки блоков'!$L$2:$L986)&lt;&gt;ROW('Списки блоков'!$L$3)),0),0)),"","Спонсоры,")
&amp;IF(ISERROR(MATCH(1,INDEX(('Списки блоков'!$M$2:$M986=B128)*(ROW('Списки блоков'!$M$2:$M986)&lt;&gt;ROW('Списки блоков'!$M$3)),0),0)),"","Склад,")
&amp;IF(ISERROR(MATCH(1,INDEX(('Списки блоков'!$N$2:$N986=B128)*(ROW('Списки блоков'!$N$2:$N986)&lt;&gt;ROW('Списки блоков'!$N$3)),0),0)),"","Сценаристы,")
&amp;IF(ISERROR(MATCH(1,INDEX(('Списки блоков'!$O$2:$O986=B128)*(ROW('Списки блоков'!$O$2:$O986)&lt;&gt;ROW('Списки блоков'!$O$3)),0),0)),"","Техники,")
&amp;IF(ISERROR(MATCH(1,INDEX(('Списки блоков'!$P$2:$P986=B128)*(ROW('Списки блоков'!$P$2:$P986)&lt;&gt;ROW('Списки блоков'!$P$3)),0),0)),"","УРС,")
&amp;IF(ISERROR(MATCH(1,INDEX(('Списки блоков'!$Q$2:$Q986=B128)*(ROW('Списки блоков'!$Q$2:$Q986)&lt;&gt;ROW('Списки блоков'!$Q$3)),0),0)),"","Фото,")
&amp;IF(ISERROR(MATCH(1,INDEX((#REF!=B128)*(ROW(#REF!)&lt;&gt;ROW(#REF!)),0),0)),"","ЭкоБлок,")
&amp;IF(ISERROR(MATCH(1,INDEX(('Списки блоков'!$R$2:$R986=B128)*(ROW('Списки блоков'!$R$2:$R986)&lt;&gt;ROW('Списки блоков'!$R$3)),0),0)),"","HR,")
&amp;IF(ISERROR(MATCH(1,INDEX(('Списки блоков'!$S$2:$S986=B128)*(ROW('Списки блоков'!$S$2:$S986)&lt;&gt;ROW('Списки блоков'!$S$3)),0),0)),"","Instagram,")
&amp;IF(ISERROR(MATCH(1,INDEX(('Списки блоков'!$T$2:$T986=B128)*(ROW('Списки блоков'!$T$2:$T986)&lt;&gt;ROW('Списки блоков'!$T$3)),0),0)),"","Zachёt,")
&amp;IF(ISERROR(MATCH(1,INDEX(('Списки блоков'!$U$2:$U986=B128)*(ROW('Списки блоков'!$U$2:$U986)&lt;&gt;ROW('Списки блоков'!$U$3)),0),0)),"","IT,")
&amp;IF(ISERROR(MATCH(1,INDEX(('Списки блоков'!$V$2:$V986=B128)*(ROW('Списки блоков'!$V$2:$V986)&lt;&gt;ROW('Списки блоков'!$V$3)),0),0)),"","ДК,")
</f>
        <v>ИнфоБлок,МП,Сценаристы,</v>
      </c>
      <c r="F128" s="8">
        <v>8.92625426E10</v>
      </c>
      <c r="G128" s="56" t="s">
        <v>625</v>
      </c>
      <c r="H128" s="44" t="s">
        <v>625</v>
      </c>
      <c r="I128" s="46" t="s">
        <v>626</v>
      </c>
      <c r="J128" s="7" t="s">
        <v>22</v>
      </c>
    </row>
    <row r="129">
      <c r="A129" s="30" t="s">
        <v>627</v>
      </c>
      <c r="B129" s="2" t="str">
        <f t="shared" si="7"/>
        <v>Суховерхов Михаил</v>
      </c>
      <c r="C129" s="3">
        <v>217.0</v>
      </c>
      <c r="D129" s="2" t="s">
        <v>50</v>
      </c>
      <c r="E129" s="2" t="str">
        <f t="array" ref="E129">IF(ISERROR(MATCH(1,INDEX(('Списки блоков'!$B$2:$B986=B129)*(ROW('Списки блоков'!$B$2:$B986)&lt;&gt;ROW('Списки блоков'!$B$3)),0),0)),"","БДНС,")
&amp;IF(ISERROR(MATCH(1,INDEX(('Списки блоков'!$C$2:$C986=B129)*(ROW('Списки блоков'!$C$2:$C986)&lt;&gt;ROW('Списки блоков'!$C$3)),0),0)),"","Видеолаба,")
&amp;IF(ISERROR(MATCH(1,INDEX(('Списки блоков'!$D$2:$D986=B129)*(ROW('Списки блоков'!$D$2:$D986)&lt;&gt;ROW('Списки блоков'!$D$3)),0),0)),"","Декораторы,")
&amp;IF(ISERROR(MATCH(1,INDEX(('Списки блоков'!$E$2:$E986=B129)*(ROW('Списки блоков'!$E$2:$E986)&lt;&gt;ROW('Списки блоков'!$E$3)),0),0)),"","Дизайн,")
&amp;IF(ISERROR(MATCH(1,INDEX(('Списки блоков'!$F$2:$F986=B129)*(ROW('Списки блоков'!$F$2:$F986)&lt;&gt;ROW('Списки блоков'!$F$3)),0),0)),"","Досуг,")
&amp;IF(ISERROR(MATCH(1,INDEX(('Списки блоков'!$G$2:$G986=B129)*(ROW('Списки блоков'!$G$2:$G986)&lt;&gt;ROW('Списки блоков'!$G$3)),0),0)),"","Закупки,")
&amp;IF(ISERROR(MATCH(1,INDEX(('Списки блоков'!$H$2:$H986=B129)*(ROW('Списки блоков'!$H$2:$H986)&lt;&gt;ROW('Списки блоков'!$H$3)),0),0)),"","ИнфоБлок,")
&amp;IF(ISERROR(MATCH(1,INDEX(('Списки блоков'!$I$2:$I986=B129)*(ROW('Списки блоков'!$I$2:$I986)&lt;&gt;ROW('Списки блоков'!$I$3)),0),0)),"","КГ,")
&amp;IF(ISERROR(MATCH(1,INDEX(('Списки блоков'!$J$2:$J986=B129)*(ROW('Списки блоков'!$J$2:$J986)&lt;&gt;ROW('Списки блоков'!$J$3)),0),0)),"","МП,")
&amp;IF(ISERROR(MATCH(1,INDEX(('Списки блоков'!$K$2:$K986=B129)*(ROW('Списки блоков'!$K$2:$K986)&lt;&gt;ROW('Списки блоков'!$K$3)),0),0)),"","Профорги,")
&amp;IF(ISERROR(MATCH(1,INDEX(('Списки блоков'!$L$2:$L986=B129)*(ROW('Списки блоков'!$L$2:$L986)&lt;&gt;ROW('Списки блоков'!$L$3)),0),0)),"","Спонсоры,")
&amp;IF(ISERROR(MATCH(1,INDEX(('Списки блоков'!$M$2:$M986=B129)*(ROW('Списки блоков'!$M$2:$M986)&lt;&gt;ROW('Списки блоков'!$M$3)),0),0)),"","Склад,")
&amp;IF(ISERROR(MATCH(1,INDEX(('Списки блоков'!$N$2:$N986=B129)*(ROW('Списки блоков'!$N$2:$N986)&lt;&gt;ROW('Списки блоков'!$N$3)),0),0)),"","Сценаристы,")
&amp;IF(ISERROR(MATCH(1,INDEX(('Списки блоков'!$O$2:$O986=B129)*(ROW('Списки блоков'!$O$2:$O986)&lt;&gt;ROW('Списки блоков'!$O$3)),0),0)),"","Техники,")
&amp;IF(ISERROR(MATCH(1,INDEX(('Списки блоков'!$P$2:$P986=B129)*(ROW('Списки блоков'!$P$2:$P986)&lt;&gt;ROW('Списки блоков'!$P$3)),0),0)),"","УРС,")
&amp;IF(ISERROR(MATCH(1,INDEX(('Списки блоков'!$Q$2:$Q986=B129)*(ROW('Списки блоков'!$Q$2:$Q986)&lt;&gt;ROW('Списки блоков'!$Q$3)),0),0)),"","Фото,")
&amp;IF(ISERROR(MATCH(1,INDEX((#REF!=B129)*(ROW(#REF!)&lt;&gt;ROW(#REF!)),0),0)),"","ЭкоБлок,")
&amp;IF(ISERROR(MATCH(1,INDEX(('Списки блоков'!$R$2:$R986=B129)*(ROW('Списки блоков'!$R$2:$R986)&lt;&gt;ROW('Списки блоков'!$R$3)),0),0)),"","HR,")
&amp;IF(ISERROR(MATCH(1,INDEX(('Списки блоков'!$S$2:$S986=B129)*(ROW('Списки блоков'!$S$2:$S986)&lt;&gt;ROW('Списки блоков'!$S$3)),0),0)),"","Instagram,")
&amp;IF(ISERROR(MATCH(1,INDEX(('Списки блоков'!$T$2:$T986=B129)*(ROW('Списки блоков'!$T$2:$T986)&lt;&gt;ROW('Списки блоков'!$T$3)),0),0)),"","Zachёt,")
&amp;IF(ISERROR(MATCH(1,INDEX(('Списки блоков'!$U$2:$U986=B129)*(ROW('Списки блоков'!$U$2:$U986)&lt;&gt;ROW('Списки блоков'!$U$3)),0),0)),"","IT,")
&amp;IF(ISERROR(MATCH(1,INDEX(('Списки блоков'!$V$2:$V986=B129)*(ROW('Списки блоков'!$V$2:$V986)&lt;&gt;ROW('Списки блоков'!$V$3)),0),0)),"","ДК,")
</f>
        <v>Спонсоры,</v>
      </c>
      <c r="F129" s="4">
        <v>8.9876290747E10</v>
      </c>
      <c r="G129" s="50" t="s">
        <v>628</v>
      </c>
      <c r="H129" s="33" t="s">
        <v>629</v>
      </c>
      <c r="I129" s="51" t="s">
        <v>630</v>
      </c>
      <c r="J129" s="7" t="s">
        <v>22</v>
      </c>
    </row>
    <row r="130">
      <c r="A130" s="44" t="s">
        <v>631</v>
      </c>
      <c r="B130" s="2" t="str">
        <f t="shared" si="7"/>
        <v>Толстова Анна</v>
      </c>
      <c r="C130" s="3">
        <v>412.0</v>
      </c>
      <c r="D130" s="2" t="s">
        <v>632</v>
      </c>
      <c r="E130" s="2" t="str">
        <f t="array" ref="E130">IF(ISERROR(MATCH(1,INDEX(('Списки блоков'!$B$2:$B986=B130)*(ROW('Списки блоков'!$B$2:$B986)&lt;&gt;ROW('Списки блоков'!$B$3)),0),0)),"","БДНС,")
&amp;IF(ISERROR(MATCH(1,INDEX(('Списки блоков'!$C$2:$C986=B130)*(ROW('Списки блоков'!$C$2:$C986)&lt;&gt;ROW('Списки блоков'!$C$3)),0),0)),"","Видеолаба,")
&amp;IF(ISERROR(MATCH(1,INDEX(('Списки блоков'!$D$2:$D986=B130)*(ROW('Списки блоков'!$D$2:$D986)&lt;&gt;ROW('Списки блоков'!$D$3)),0),0)),"","Декораторы,")
&amp;IF(ISERROR(MATCH(1,INDEX(('Списки блоков'!$E$2:$E986=B130)*(ROW('Списки блоков'!$E$2:$E986)&lt;&gt;ROW('Списки блоков'!$E$3)),0),0)),"","Дизайн,")
&amp;IF(ISERROR(MATCH(1,INDEX(('Списки блоков'!$F$2:$F986=B130)*(ROW('Списки блоков'!$F$2:$F986)&lt;&gt;ROW('Списки блоков'!$F$3)),0),0)),"","Досуг,")
&amp;IF(ISERROR(MATCH(1,INDEX(('Списки блоков'!$G$2:$G986=B130)*(ROW('Списки блоков'!$G$2:$G986)&lt;&gt;ROW('Списки блоков'!$G$3)),0),0)),"","Закупки,")
&amp;IF(ISERROR(MATCH(1,INDEX(('Списки блоков'!$H$2:$H986=B130)*(ROW('Списки блоков'!$H$2:$H986)&lt;&gt;ROW('Списки блоков'!$H$3)),0),0)),"","ИнфоБлок,")
&amp;IF(ISERROR(MATCH(1,INDEX(('Списки блоков'!$I$2:$I986=B130)*(ROW('Списки блоков'!$I$2:$I986)&lt;&gt;ROW('Списки блоков'!$I$3)),0),0)),"","КГ,")
&amp;IF(ISERROR(MATCH(1,INDEX(('Списки блоков'!$J$2:$J986=B130)*(ROW('Списки блоков'!$J$2:$J986)&lt;&gt;ROW('Списки блоков'!$J$3)),0),0)),"","МП,")
&amp;IF(ISERROR(MATCH(1,INDEX(('Списки блоков'!$K$2:$K986=B130)*(ROW('Списки блоков'!$K$2:$K986)&lt;&gt;ROW('Списки блоков'!$K$3)),0),0)),"","Профорги,")
&amp;IF(ISERROR(MATCH(1,INDEX(('Списки блоков'!$L$2:$L986=B130)*(ROW('Списки блоков'!$L$2:$L986)&lt;&gt;ROW('Списки блоков'!$L$3)),0),0)),"","Спонсоры,")
&amp;IF(ISERROR(MATCH(1,INDEX(('Списки блоков'!$M$2:$M986=B130)*(ROW('Списки блоков'!$M$2:$M986)&lt;&gt;ROW('Списки блоков'!$M$3)),0),0)),"","Склад,")
&amp;IF(ISERROR(MATCH(1,INDEX(('Списки блоков'!$N$2:$N986=B130)*(ROW('Списки блоков'!$N$2:$N986)&lt;&gt;ROW('Списки блоков'!$N$3)),0),0)),"","Сценаристы,")
&amp;IF(ISERROR(MATCH(1,INDEX(('Списки блоков'!$O$2:$O986=B130)*(ROW('Списки блоков'!$O$2:$O986)&lt;&gt;ROW('Списки блоков'!$O$3)),0),0)),"","Техники,")
&amp;IF(ISERROR(MATCH(1,INDEX(('Списки блоков'!$P$2:$P986=B130)*(ROW('Списки блоков'!$P$2:$P986)&lt;&gt;ROW('Списки блоков'!$P$3)),0),0)),"","УРС,")
&amp;IF(ISERROR(MATCH(1,INDEX(('Списки блоков'!$Q$2:$Q986=B130)*(ROW('Списки блоков'!$Q$2:$Q986)&lt;&gt;ROW('Списки блоков'!$Q$3)),0),0)),"","Фото,")
&amp;IF(ISERROR(MATCH(1,INDEX((#REF!=B130)*(ROW(#REF!)&lt;&gt;ROW(#REF!)),0),0)),"","ЭкоБлок,")
&amp;IF(ISERROR(MATCH(1,INDEX(('Списки блоков'!$R$2:$R986=B130)*(ROW('Списки блоков'!$R$2:$R986)&lt;&gt;ROW('Списки блоков'!$R$3)),0),0)),"","HR,")
&amp;IF(ISERROR(MATCH(1,INDEX(('Списки блоков'!$S$2:$S986=B130)*(ROW('Списки блоков'!$S$2:$S986)&lt;&gt;ROW('Списки блоков'!$S$3)),0),0)),"","Instagram,")
&amp;IF(ISERROR(MATCH(1,INDEX(('Списки блоков'!$T$2:$T986=B130)*(ROW('Списки блоков'!$T$2:$T986)&lt;&gt;ROW('Списки блоков'!$T$3)),0),0)),"","Zachёt,")
&amp;IF(ISERROR(MATCH(1,INDEX(('Списки блоков'!$U$2:$U986=B130)*(ROW('Списки блоков'!$U$2:$U986)&lt;&gt;ROW('Списки блоков'!$U$3)),0),0)),"","IT,")
&amp;IF(ISERROR(MATCH(1,INDEX(('Списки блоков'!$V$2:$V986=B130)*(ROW('Списки блоков'!$V$2:$V986)&lt;&gt;ROW('Списки блоков'!$V$3)),0),0)),"","ДК,")
</f>
        <v>HR,Zachёt,</v>
      </c>
      <c r="F130" s="8">
        <v>8.9806777062E10</v>
      </c>
      <c r="G130" s="45" t="s">
        <v>633</v>
      </c>
      <c r="H130" s="49" t="s">
        <v>634</v>
      </c>
      <c r="I130" s="46" t="s">
        <v>635</v>
      </c>
      <c r="J130" s="7" t="s">
        <v>22</v>
      </c>
    </row>
    <row r="131">
      <c r="A131" s="26" t="s">
        <v>636</v>
      </c>
      <c r="B131" s="2" t="str">
        <f t="shared" si="7"/>
        <v>Точаева Татьяна</v>
      </c>
      <c r="C131" s="9">
        <v>321.0</v>
      </c>
      <c r="D131" s="10" t="s">
        <v>637</v>
      </c>
      <c r="E131" s="2" t="str">
        <f t="array" ref="E131">IF(ISERROR(MATCH(1,INDEX(('Списки блоков'!$B$2:$B986=B131)*(ROW('Списки блоков'!$B$2:$B986)&lt;&gt;ROW('Списки блоков'!$B$3)),0),0)),"","БДНС,")
&amp;IF(ISERROR(MATCH(1,INDEX(('Списки блоков'!$C$2:$C986=B131)*(ROW('Списки блоков'!$C$2:$C986)&lt;&gt;ROW('Списки блоков'!$C$3)),0),0)),"","Видеолаба,")
&amp;IF(ISERROR(MATCH(1,INDEX(('Списки блоков'!$D$2:$D986=B131)*(ROW('Списки блоков'!$D$2:$D986)&lt;&gt;ROW('Списки блоков'!$D$3)),0),0)),"","Декораторы,")
&amp;IF(ISERROR(MATCH(1,INDEX(('Списки блоков'!$E$2:$E986=B131)*(ROW('Списки блоков'!$E$2:$E986)&lt;&gt;ROW('Списки блоков'!$E$3)),0),0)),"","Дизайн,")
&amp;IF(ISERROR(MATCH(1,INDEX(('Списки блоков'!$F$2:$F986=B131)*(ROW('Списки блоков'!$F$2:$F986)&lt;&gt;ROW('Списки блоков'!$F$3)),0),0)),"","Досуг,")
&amp;IF(ISERROR(MATCH(1,INDEX(('Списки блоков'!$G$2:$G986=B131)*(ROW('Списки блоков'!$G$2:$G986)&lt;&gt;ROW('Списки блоков'!$G$3)),0),0)),"","Закупки,")
&amp;IF(ISERROR(MATCH(1,INDEX(('Списки блоков'!$H$2:$H986=B131)*(ROW('Списки блоков'!$H$2:$H986)&lt;&gt;ROW('Списки блоков'!$H$3)),0),0)),"","ИнфоБлок,")
&amp;IF(ISERROR(MATCH(1,INDEX(('Списки блоков'!$I$2:$I986=B131)*(ROW('Списки блоков'!$I$2:$I986)&lt;&gt;ROW('Списки блоков'!$I$3)),0),0)),"","КГ,")
&amp;IF(ISERROR(MATCH(1,INDEX(('Списки блоков'!$J$2:$J986=B131)*(ROW('Списки блоков'!$J$2:$J986)&lt;&gt;ROW('Списки блоков'!$J$3)),0),0)),"","МП,")
&amp;IF(ISERROR(MATCH(1,INDEX(('Списки блоков'!$K$2:$K986=B131)*(ROW('Списки блоков'!$K$2:$K986)&lt;&gt;ROW('Списки блоков'!$K$3)),0),0)),"","Профорги,")
&amp;IF(ISERROR(MATCH(1,INDEX(('Списки блоков'!$L$2:$L986=B131)*(ROW('Списки блоков'!$L$2:$L986)&lt;&gt;ROW('Списки блоков'!$L$3)),0),0)),"","Спонсоры,")
&amp;IF(ISERROR(MATCH(1,INDEX(('Списки блоков'!$M$2:$M986=B131)*(ROW('Списки блоков'!$M$2:$M986)&lt;&gt;ROW('Списки блоков'!$M$3)),0),0)),"","Склад,")
&amp;IF(ISERROR(MATCH(1,INDEX(('Списки блоков'!$N$2:$N986=B131)*(ROW('Списки блоков'!$N$2:$N986)&lt;&gt;ROW('Списки блоков'!$N$3)),0),0)),"","Сценаристы,")
&amp;IF(ISERROR(MATCH(1,INDEX(('Списки блоков'!$O$2:$O986=B131)*(ROW('Списки блоков'!$O$2:$O986)&lt;&gt;ROW('Списки блоков'!$O$3)),0),0)),"","Техники,")
&amp;IF(ISERROR(MATCH(1,INDEX(('Списки блоков'!$P$2:$P986=B131)*(ROW('Списки блоков'!$P$2:$P986)&lt;&gt;ROW('Списки блоков'!$P$3)),0),0)),"","УРС,")
&amp;IF(ISERROR(MATCH(1,INDEX(('Списки блоков'!$Q$2:$Q986=B131)*(ROW('Списки блоков'!$Q$2:$Q986)&lt;&gt;ROW('Списки блоков'!$Q$3)),0),0)),"","Фото,")
&amp;IF(ISERROR(MATCH(1,INDEX((#REF!=B131)*(ROW(#REF!)&lt;&gt;ROW(#REF!)),0),0)),"","ЭкоБлок,")
&amp;IF(ISERROR(MATCH(1,INDEX(('Списки блоков'!$R$2:$R986=B131)*(ROW('Списки блоков'!$R$2:$R986)&lt;&gt;ROW('Списки блоков'!$R$3)),0),0)),"","HR,")
&amp;IF(ISERROR(MATCH(1,INDEX(('Списки блоков'!$S$2:$S986=B131)*(ROW('Списки блоков'!$S$2:$S986)&lt;&gt;ROW('Списки блоков'!$S$3)),0),0)),"","Instagram,")
&amp;IF(ISERROR(MATCH(1,INDEX(('Списки блоков'!$T$2:$T986=B131)*(ROW('Списки блоков'!$T$2:$T986)&lt;&gt;ROW('Списки блоков'!$T$3)),0),0)),"","Zachёt,")
&amp;IF(ISERROR(MATCH(1,INDEX(('Списки блоков'!$U$2:$U986=B131)*(ROW('Списки блоков'!$U$2:$U986)&lt;&gt;ROW('Списки блоков'!$U$3)),0),0)),"","IT,")
&amp;IF(ISERROR(MATCH(1,INDEX(('Списки блоков'!$V$2:$V986=B131)*(ROW('Списки блоков'!$V$2:$V986)&lt;&gt;ROW('Списки блоков'!$V$3)),0),0)),"","ДК,")
</f>
        <v>Досуг,ИнфоБлок,IT,</v>
      </c>
      <c r="F131" s="14">
        <v>8.9629967244E10</v>
      </c>
      <c r="G131" s="42" t="s">
        <v>638</v>
      </c>
      <c r="H131" s="28" t="s">
        <v>639</v>
      </c>
      <c r="I131" s="43" t="s">
        <v>640</v>
      </c>
      <c r="J131" s="6" t="s">
        <v>22</v>
      </c>
    </row>
    <row r="132">
      <c r="A132" s="44" t="s">
        <v>641</v>
      </c>
      <c r="B132" s="2" t="str">
        <f t="shared" si="7"/>
        <v>Тыцкая Екатерина</v>
      </c>
      <c r="C132" s="3">
        <v>314.0</v>
      </c>
      <c r="D132" s="2" t="s">
        <v>136</v>
      </c>
      <c r="E132" s="2" t="str">
        <f t="array" ref="E132">IF(ISERROR(MATCH(1,INDEX(('Списки блоков'!$B$2:$B986=B132)*(ROW('Списки блоков'!$B$2:$B986)&lt;&gt;ROW('Списки блоков'!$B$3)),0),0)),"","БДНС,")
&amp;IF(ISERROR(MATCH(1,INDEX(('Списки блоков'!$C$2:$C986=B132)*(ROW('Списки блоков'!$C$2:$C986)&lt;&gt;ROW('Списки блоков'!$C$3)),0),0)),"","Видеолаба,")
&amp;IF(ISERROR(MATCH(1,INDEX(('Списки блоков'!$D$2:$D986=B132)*(ROW('Списки блоков'!$D$2:$D986)&lt;&gt;ROW('Списки блоков'!$D$3)),0),0)),"","Декораторы,")
&amp;IF(ISERROR(MATCH(1,INDEX(('Списки блоков'!$E$2:$E986=B132)*(ROW('Списки блоков'!$E$2:$E986)&lt;&gt;ROW('Списки блоков'!$E$3)),0),0)),"","Дизайн,")
&amp;IF(ISERROR(MATCH(1,INDEX(('Списки блоков'!$F$2:$F986=B132)*(ROW('Списки блоков'!$F$2:$F986)&lt;&gt;ROW('Списки блоков'!$F$3)),0),0)),"","Досуг,")
&amp;IF(ISERROR(MATCH(1,INDEX(('Списки блоков'!$G$2:$G986=B132)*(ROW('Списки блоков'!$G$2:$G986)&lt;&gt;ROW('Списки блоков'!$G$3)),0),0)),"","Закупки,")
&amp;IF(ISERROR(MATCH(1,INDEX(('Списки блоков'!$H$2:$H986=B132)*(ROW('Списки блоков'!$H$2:$H986)&lt;&gt;ROW('Списки блоков'!$H$3)),0),0)),"","ИнфоБлок,")
&amp;IF(ISERROR(MATCH(1,INDEX(('Списки блоков'!$I$2:$I986=B132)*(ROW('Списки блоков'!$I$2:$I986)&lt;&gt;ROW('Списки блоков'!$I$3)),0),0)),"","КГ,")
&amp;IF(ISERROR(MATCH(1,INDEX(('Списки блоков'!$J$2:$J986=B132)*(ROW('Списки блоков'!$J$2:$J986)&lt;&gt;ROW('Списки блоков'!$J$3)),0),0)),"","МП,")
&amp;IF(ISERROR(MATCH(1,INDEX(('Списки блоков'!$K$2:$K986=B132)*(ROW('Списки блоков'!$K$2:$K986)&lt;&gt;ROW('Списки блоков'!$K$3)),0),0)),"","Профорги,")
&amp;IF(ISERROR(MATCH(1,INDEX(('Списки блоков'!$L$2:$L986=B132)*(ROW('Списки блоков'!$L$2:$L986)&lt;&gt;ROW('Списки блоков'!$L$3)),0),0)),"","Спонсоры,")
&amp;IF(ISERROR(MATCH(1,INDEX(('Списки блоков'!$M$2:$M986=B132)*(ROW('Списки блоков'!$M$2:$M986)&lt;&gt;ROW('Списки блоков'!$M$3)),0),0)),"","Склад,")
&amp;IF(ISERROR(MATCH(1,INDEX(('Списки блоков'!$N$2:$N986=B132)*(ROW('Списки блоков'!$N$2:$N986)&lt;&gt;ROW('Списки блоков'!$N$3)),0),0)),"","Сценаристы,")
&amp;IF(ISERROR(MATCH(1,INDEX(('Списки блоков'!$O$2:$O986=B132)*(ROW('Списки блоков'!$O$2:$O986)&lt;&gt;ROW('Списки блоков'!$O$3)),0),0)),"","Техники,")
&amp;IF(ISERROR(MATCH(1,INDEX(('Списки блоков'!$P$2:$P986=B132)*(ROW('Списки блоков'!$P$2:$P986)&lt;&gt;ROW('Списки блоков'!$P$3)),0),0)),"","УРС,")
&amp;IF(ISERROR(MATCH(1,INDEX(('Списки блоков'!$Q$2:$Q986=B132)*(ROW('Списки блоков'!$Q$2:$Q986)&lt;&gt;ROW('Списки блоков'!$Q$3)),0),0)),"","Фото,")
&amp;IF(ISERROR(MATCH(1,INDEX((#REF!=B132)*(ROW(#REF!)&lt;&gt;ROW(#REF!)),0),0)),"","ЭкоБлок,")
&amp;IF(ISERROR(MATCH(1,INDEX(('Списки блоков'!$R$2:$R986=B132)*(ROW('Списки блоков'!$R$2:$R986)&lt;&gt;ROW('Списки блоков'!$R$3)),0),0)),"","HR,")
&amp;IF(ISERROR(MATCH(1,INDEX(('Списки блоков'!$S$2:$S986=B132)*(ROW('Списки блоков'!$S$2:$S986)&lt;&gt;ROW('Списки блоков'!$S$3)),0),0)),"","Instagram,")
&amp;IF(ISERROR(MATCH(1,INDEX(('Списки блоков'!$T$2:$T986=B132)*(ROW('Списки блоков'!$T$2:$T986)&lt;&gt;ROW('Списки блоков'!$T$3)),0),0)),"","Zachёt,")
&amp;IF(ISERROR(MATCH(1,INDEX(('Списки блоков'!$U$2:$U986=B132)*(ROW('Списки блоков'!$U$2:$U986)&lt;&gt;ROW('Списки блоков'!$U$3)),0),0)),"","IT,")
&amp;IF(ISERROR(MATCH(1,INDEX(('Списки блоков'!$V$2:$V986=B132)*(ROW('Списки блоков'!$V$2:$V986)&lt;&gt;ROW('Списки блоков'!$V$3)),0),0)),"","ДК,")
</f>
        <v>БДНС,ИнфоБлок,</v>
      </c>
      <c r="F132" s="8">
        <v>8.964908246E10</v>
      </c>
      <c r="G132" s="45" t="s">
        <v>642</v>
      </c>
      <c r="H132" s="44" t="s">
        <v>643</v>
      </c>
      <c r="I132" s="46" t="s">
        <v>644</v>
      </c>
      <c r="J132" s="7" t="s">
        <v>22</v>
      </c>
    </row>
    <row r="133">
      <c r="A133" s="57" t="s">
        <v>645</v>
      </c>
      <c r="B133" s="2" t="str">
        <f t="shared" si="7"/>
        <v>Утешева Екатерина</v>
      </c>
      <c r="C133" s="3">
        <v>421.0</v>
      </c>
      <c r="D133" s="2" t="s">
        <v>646</v>
      </c>
      <c r="E133" s="2" t="str">
        <f t="array" ref="E133">IF(ISERROR(MATCH(1,INDEX(('Списки блоков'!$B$2:$B986=B133)*(ROW('Списки блоков'!$B$2:$B986)&lt;&gt;ROW('Списки блоков'!$B$3)),0),0)),"","БДНС,")
&amp;IF(ISERROR(MATCH(1,INDEX(('Списки блоков'!$C$2:$C986=B133)*(ROW('Списки блоков'!$C$2:$C986)&lt;&gt;ROW('Списки блоков'!$C$3)),0),0)),"","Видеолаба,")
&amp;IF(ISERROR(MATCH(1,INDEX(('Списки блоков'!$D$2:$D986=B133)*(ROW('Списки блоков'!$D$2:$D986)&lt;&gt;ROW('Списки блоков'!$D$3)),0),0)),"","Декораторы,")
&amp;IF(ISERROR(MATCH(1,INDEX(('Списки блоков'!$E$2:$E986=B133)*(ROW('Списки блоков'!$E$2:$E986)&lt;&gt;ROW('Списки блоков'!$E$3)),0),0)),"","Дизайн,")
&amp;IF(ISERROR(MATCH(1,INDEX(('Списки блоков'!$F$2:$F986=B133)*(ROW('Списки блоков'!$F$2:$F986)&lt;&gt;ROW('Списки блоков'!$F$3)),0),0)),"","Досуг,")
&amp;IF(ISERROR(MATCH(1,INDEX(('Списки блоков'!$G$2:$G986=B133)*(ROW('Списки блоков'!$G$2:$G986)&lt;&gt;ROW('Списки блоков'!$G$3)),0),0)),"","Закупки,")
&amp;IF(ISERROR(MATCH(1,INDEX(('Списки блоков'!$H$2:$H986=B133)*(ROW('Списки блоков'!$H$2:$H986)&lt;&gt;ROW('Списки блоков'!$H$3)),0),0)),"","ИнфоБлок,")
&amp;IF(ISERROR(MATCH(1,INDEX(('Списки блоков'!$I$2:$I986=B133)*(ROW('Списки блоков'!$I$2:$I986)&lt;&gt;ROW('Списки блоков'!$I$3)),0),0)),"","КГ,")
&amp;IF(ISERROR(MATCH(1,INDEX(('Списки блоков'!$J$2:$J986=B133)*(ROW('Списки блоков'!$J$2:$J986)&lt;&gt;ROW('Списки блоков'!$J$3)),0),0)),"","МП,")
&amp;IF(ISERROR(MATCH(1,INDEX(('Списки блоков'!$K$2:$K986=B133)*(ROW('Списки блоков'!$K$2:$K986)&lt;&gt;ROW('Списки блоков'!$K$3)),0),0)),"","Профорги,")
&amp;IF(ISERROR(MATCH(1,INDEX(('Списки блоков'!$L$2:$L986=B133)*(ROW('Списки блоков'!$L$2:$L986)&lt;&gt;ROW('Списки блоков'!$L$3)),0),0)),"","Спонсоры,")
&amp;IF(ISERROR(MATCH(1,INDEX(('Списки блоков'!$M$2:$M986=B133)*(ROW('Списки блоков'!$M$2:$M986)&lt;&gt;ROW('Списки блоков'!$M$3)),0),0)),"","Склад,")
&amp;IF(ISERROR(MATCH(1,INDEX(('Списки блоков'!$N$2:$N986=B133)*(ROW('Списки блоков'!$N$2:$N986)&lt;&gt;ROW('Списки блоков'!$N$3)),0),0)),"","Сценаристы,")
&amp;IF(ISERROR(MATCH(1,INDEX(('Списки блоков'!$O$2:$O986=B133)*(ROW('Списки блоков'!$O$2:$O986)&lt;&gt;ROW('Списки блоков'!$O$3)),0),0)),"","Техники,")
&amp;IF(ISERROR(MATCH(1,INDEX(('Списки блоков'!$P$2:$P986=B133)*(ROW('Списки блоков'!$P$2:$P986)&lt;&gt;ROW('Списки блоков'!$P$3)),0),0)),"","УРС,")
&amp;IF(ISERROR(MATCH(1,INDEX(('Списки блоков'!$Q$2:$Q986=B133)*(ROW('Списки блоков'!$Q$2:$Q986)&lt;&gt;ROW('Списки блоков'!$Q$3)),0),0)),"","Фото,")
&amp;IF(ISERROR(MATCH(1,INDEX((#REF!=B133)*(ROW(#REF!)&lt;&gt;ROW(#REF!)),0),0)),"","ЭкоБлок,")
&amp;IF(ISERROR(MATCH(1,INDEX(('Списки блоков'!$R$2:$R986=B133)*(ROW('Списки блоков'!$R$2:$R986)&lt;&gt;ROW('Списки блоков'!$R$3)),0),0)),"","HR,")
&amp;IF(ISERROR(MATCH(1,INDEX(('Списки блоков'!$S$2:$S986=B133)*(ROW('Списки блоков'!$S$2:$S986)&lt;&gt;ROW('Списки блоков'!$S$3)),0),0)),"","Instagram,")
&amp;IF(ISERROR(MATCH(1,INDEX(('Списки блоков'!$T$2:$T986=B133)*(ROW('Списки блоков'!$T$2:$T986)&lt;&gt;ROW('Списки блоков'!$T$3)),0),0)),"","Zachёt,")
&amp;IF(ISERROR(MATCH(1,INDEX(('Списки блоков'!$U$2:$U986=B133)*(ROW('Списки блоков'!$U$2:$U986)&lt;&gt;ROW('Списки блоков'!$U$3)),0),0)),"","IT,")
&amp;IF(ISERROR(MATCH(1,INDEX(('Списки блоков'!$V$2:$V986=B133)*(ROW('Списки блоков'!$V$2:$V986)&lt;&gt;ROW('Списки блоков'!$V$3)),0),0)),"","ДК,")
</f>
        <v>Дизайн,IT,</v>
      </c>
      <c r="F133" s="8">
        <v>8.9226502326E10</v>
      </c>
      <c r="G133" s="45" t="s">
        <v>647</v>
      </c>
      <c r="H133" s="49" t="s">
        <v>648</v>
      </c>
      <c r="I133" s="46" t="s">
        <v>649</v>
      </c>
      <c r="J133" s="7" t="s">
        <v>22</v>
      </c>
    </row>
    <row r="134">
      <c r="A134" s="26" t="s">
        <v>650</v>
      </c>
      <c r="B134" s="2" t="str">
        <f t="shared" si="7"/>
        <v>Уткин Тимофей</v>
      </c>
      <c r="C134" s="9">
        <v>119.0</v>
      </c>
      <c r="D134" s="10" t="s">
        <v>651</v>
      </c>
      <c r="E134" s="2" t="str">
        <f t="array" ref="E134">IF(ISERROR(MATCH(1,INDEX(('Списки блоков'!$B$2:$B986=B134)*(ROW('Списки блоков'!$B$2:$B986)&lt;&gt;ROW('Списки блоков'!$B$3)),0),0)),"","БДНС,")
&amp;IF(ISERROR(MATCH(1,INDEX(('Списки блоков'!$C$2:$C986=B134)*(ROW('Списки блоков'!$C$2:$C986)&lt;&gt;ROW('Списки блоков'!$C$3)),0),0)),"","Видеолаба,")
&amp;IF(ISERROR(MATCH(1,INDEX(('Списки блоков'!$D$2:$D986=B134)*(ROW('Списки блоков'!$D$2:$D986)&lt;&gt;ROW('Списки блоков'!$D$3)),0),0)),"","Декораторы,")
&amp;IF(ISERROR(MATCH(1,INDEX(('Списки блоков'!$E$2:$E986=B134)*(ROW('Списки блоков'!$E$2:$E986)&lt;&gt;ROW('Списки блоков'!$E$3)),0),0)),"","Дизайн,")
&amp;IF(ISERROR(MATCH(1,INDEX(('Списки блоков'!$F$2:$F986=B134)*(ROW('Списки блоков'!$F$2:$F986)&lt;&gt;ROW('Списки блоков'!$F$3)),0),0)),"","Досуг,")
&amp;IF(ISERROR(MATCH(1,INDEX(('Списки блоков'!$G$2:$G986=B134)*(ROW('Списки блоков'!$G$2:$G986)&lt;&gt;ROW('Списки блоков'!$G$3)),0),0)),"","Закупки,")
&amp;IF(ISERROR(MATCH(1,INDEX(('Списки блоков'!$H$2:$H986=B134)*(ROW('Списки блоков'!$H$2:$H986)&lt;&gt;ROW('Списки блоков'!$H$3)),0),0)),"","ИнфоБлок,")
&amp;IF(ISERROR(MATCH(1,INDEX(('Списки блоков'!$I$2:$I986=B134)*(ROW('Списки блоков'!$I$2:$I986)&lt;&gt;ROW('Списки блоков'!$I$3)),0),0)),"","КГ,")
&amp;IF(ISERROR(MATCH(1,INDEX(('Списки блоков'!$J$2:$J986=B134)*(ROW('Списки блоков'!$J$2:$J986)&lt;&gt;ROW('Списки блоков'!$J$3)),0),0)),"","МП,")
&amp;IF(ISERROR(MATCH(1,INDEX(('Списки блоков'!$K$2:$K986=B134)*(ROW('Списки блоков'!$K$2:$K986)&lt;&gt;ROW('Списки блоков'!$K$3)),0),0)),"","Профорги,")
&amp;IF(ISERROR(MATCH(1,INDEX(('Списки блоков'!$L$2:$L986=B134)*(ROW('Списки блоков'!$L$2:$L986)&lt;&gt;ROW('Списки блоков'!$L$3)),0),0)),"","Спонсоры,")
&amp;IF(ISERROR(MATCH(1,INDEX(('Списки блоков'!$M$2:$M986=B134)*(ROW('Списки блоков'!$M$2:$M986)&lt;&gt;ROW('Списки блоков'!$M$3)),0),0)),"","Склад,")
&amp;IF(ISERROR(MATCH(1,INDEX(('Списки блоков'!$N$2:$N986=B134)*(ROW('Списки блоков'!$N$2:$N986)&lt;&gt;ROW('Списки блоков'!$N$3)),0),0)),"","Сценаристы,")
&amp;IF(ISERROR(MATCH(1,INDEX(('Списки блоков'!$O$2:$O986=B134)*(ROW('Списки блоков'!$O$2:$O986)&lt;&gt;ROW('Списки блоков'!$O$3)),0),0)),"","Техники,")
&amp;IF(ISERROR(MATCH(1,INDEX(('Списки блоков'!$P$2:$P986=B134)*(ROW('Списки блоков'!$P$2:$P986)&lt;&gt;ROW('Списки блоков'!$P$3)),0),0)),"","УРС,")
&amp;IF(ISERROR(MATCH(1,INDEX(('Списки блоков'!$Q$2:$Q986=B134)*(ROW('Списки блоков'!$Q$2:$Q986)&lt;&gt;ROW('Списки блоков'!$Q$3)),0),0)),"","Фото,")
&amp;IF(ISERROR(MATCH(1,INDEX((#REF!=B134)*(ROW(#REF!)&lt;&gt;ROW(#REF!)),0),0)),"","ЭкоБлок,")
&amp;IF(ISERROR(MATCH(1,INDEX(('Списки блоков'!$R$2:$R986=B134)*(ROW('Списки блоков'!$R$2:$R986)&lt;&gt;ROW('Списки блоков'!$R$3)),0),0)),"","HR,")
&amp;IF(ISERROR(MATCH(1,INDEX(('Списки блоков'!$S$2:$S986=B134)*(ROW('Списки блоков'!$S$2:$S986)&lt;&gt;ROW('Списки блоков'!$S$3)),0),0)),"","Instagram,")
&amp;IF(ISERROR(MATCH(1,INDEX(('Списки блоков'!$T$2:$T986=B134)*(ROW('Списки блоков'!$T$2:$T986)&lt;&gt;ROW('Списки блоков'!$T$3)),0),0)),"","Zachёt,")
&amp;IF(ISERROR(MATCH(1,INDEX(('Списки блоков'!$U$2:$U986=B134)*(ROW('Списки блоков'!$U$2:$U986)&lt;&gt;ROW('Списки блоков'!$U$3)),0),0)),"","IT,")
&amp;IF(ISERROR(MATCH(1,INDEX(('Списки блоков'!$V$2:$V986=B134)*(ROW('Списки блоков'!$V$2:$V986)&lt;&gt;ROW('Списки блоков'!$V$3)),0),0)),"","ДК,")
</f>
        <v>Профорги,УРС,Фото,</v>
      </c>
      <c r="F134" s="14">
        <v>8.985732401E10</v>
      </c>
      <c r="G134" s="42" t="s">
        <v>652</v>
      </c>
      <c r="H134" s="28" t="s">
        <v>653</v>
      </c>
      <c r="I134" s="43" t="s">
        <v>654</v>
      </c>
      <c r="J134" s="6" t="s">
        <v>22</v>
      </c>
    </row>
    <row r="135">
      <c r="A135" s="6" t="s">
        <v>655</v>
      </c>
      <c r="B135" s="2" t="str">
        <f t="shared" si="7"/>
        <v>Уткина Ульяна</v>
      </c>
      <c r="C135" s="9">
        <v>513.0</v>
      </c>
      <c r="D135" s="10" t="s">
        <v>656</v>
      </c>
      <c r="E135" s="2" t="str">
        <f t="array" ref="E135">IF(ISERROR(MATCH(1,INDEX(('Списки блоков'!$B$2:$B986=B135)*(ROW('Списки блоков'!$B$2:$B986)&lt;&gt;ROW('Списки блоков'!$B$3)),0),0)),"","БДНС,")
&amp;IF(ISERROR(MATCH(1,INDEX(('Списки блоков'!$C$2:$C986=B135)*(ROW('Списки блоков'!$C$2:$C986)&lt;&gt;ROW('Списки блоков'!$C$3)),0),0)),"","Видеолаба,")
&amp;IF(ISERROR(MATCH(1,INDEX(('Списки блоков'!$D$2:$D986=B135)*(ROW('Списки блоков'!$D$2:$D986)&lt;&gt;ROW('Списки блоков'!$D$3)),0),0)),"","Декораторы,")
&amp;IF(ISERROR(MATCH(1,INDEX(('Списки блоков'!$E$2:$E986=B135)*(ROW('Списки блоков'!$E$2:$E986)&lt;&gt;ROW('Списки блоков'!$E$3)),0),0)),"","Дизайн,")
&amp;IF(ISERROR(MATCH(1,INDEX(('Списки блоков'!$F$2:$F986=B135)*(ROW('Списки блоков'!$F$2:$F986)&lt;&gt;ROW('Списки блоков'!$F$3)),0),0)),"","Досуг,")
&amp;IF(ISERROR(MATCH(1,INDEX(('Списки блоков'!$G$2:$G986=B135)*(ROW('Списки блоков'!$G$2:$G986)&lt;&gt;ROW('Списки блоков'!$G$3)),0),0)),"","Закупки,")
&amp;IF(ISERROR(MATCH(1,INDEX(('Списки блоков'!$H$2:$H986=B135)*(ROW('Списки блоков'!$H$2:$H986)&lt;&gt;ROW('Списки блоков'!$H$3)),0),0)),"","ИнфоБлок,")
&amp;IF(ISERROR(MATCH(1,INDEX(('Списки блоков'!$I$2:$I986=B135)*(ROW('Списки блоков'!$I$2:$I986)&lt;&gt;ROW('Списки блоков'!$I$3)),0),0)),"","КГ,")
&amp;IF(ISERROR(MATCH(1,INDEX(('Списки блоков'!$J$2:$J986=B135)*(ROW('Списки блоков'!$J$2:$J986)&lt;&gt;ROW('Списки блоков'!$J$3)),0),0)),"","МП,")
&amp;IF(ISERROR(MATCH(1,INDEX(('Списки блоков'!$K$2:$K986=B135)*(ROW('Списки блоков'!$K$2:$K986)&lt;&gt;ROW('Списки блоков'!$K$3)),0),0)),"","Профорги,")
&amp;IF(ISERROR(MATCH(1,INDEX(('Списки блоков'!$L$2:$L986=B135)*(ROW('Списки блоков'!$L$2:$L986)&lt;&gt;ROW('Списки блоков'!$L$3)),0),0)),"","Спонсоры,")
&amp;IF(ISERROR(MATCH(1,INDEX(('Списки блоков'!$M$2:$M986=B135)*(ROW('Списки блоков'!$M$2:$M986)&lt;&gt;ROW('Списки блоков'!$M$3)),0),0)),"","Склад,")
&amp;IF(ISERROR(MATCH(1,INDEX(('Списки блоков'!$N$2:$N986=B135)*(ROW('Списки блоков'!$N$2:$N986)&lt;&gt;ROW('Списки блоков'!$N$3)),0),0)),"","Сценаристы,")
&amp;IF(ISERROR(MATCH(1,INDEX(('Списки блоков'!$O$2:$O986=B135)*(ROW('Списки блоков'!$O$2:$O986)&lt;&gt;ROW('Списки блоков'!$O$3)),0),0)),"","Техники,")
&amp;IF(ISERROR(MATCH(1,INDEX(('Списки блоков'!$P$2:$P986=B135)*(ROW('Списки блоков'!$P$2:$P986)&lt;&gt;ROW('Списки блоков'!$P$3)),0),0)),"","УРС,")
&amp;IF(ISERROR(MATCH(1,INDEX(('Списки блоков'!$Q$2:$Q986=B135)*(ROW('Списки блоков'!$Q$2:$Q986)&lt;&gt;ROW('Списки блоков'!$Q$3)),0),0)),"","Фото,")
&amp;IF(ISERROR(MATCH(1,INDEX((#REF!=B135)*(ROW(#REF!)&lt;&gt;ROW(#REF!)),0),0)),"","ЭкоБлок,")
&amp;IF(ISERROR(MATCH(1,INDEX(('Списки блоков'!$R$2:$R986=B135)*(ROW('Списки блоков'!$R$2:$R986)&lt;&gt;ROW('Списки блоков'!$R$3)),0),0)),"","HR,")
&amp;IF(ISERROR(MATCH(1,INDEX(('Списки блоков'!$S$2:$S986=B135)*(ROW('Списки блоков'!$S$2:$S986)&lt;&gt;ROW('Списки блоков'!$S$3)),0),0)),"","Instagram,")
&amp;IF(ISERROR(MATCH(1,INDEX(('Списки блоков'!$T$2:$T986=B135)*(ROW('Списки блоков'!$T$2:$T986)&lt;&gt;ROW('Списки блоков'!$T$3)),0),0)),"","Zachёt,")
&amp;IF(ISERROR(MATCH(1,INDEX(('Списки блоков'!$U$2:$U986=B135)*(ROW('Списки блоков'!$U$2:$U986)&lt;&gt;ROW('Списки блоков'!$U$3)),0),0)),"","IT,")
&amp;IF(ISERROR(MATCH(1,INDEX(('Списки блоков'!$V$2:$V986=B135)*(ROW('Списки блоков'!$V$2:$V986)&lt;&gt;ROW('Списки блоков'!$V$3)),0),0)),"","ДК,")
</f>
        <v>КГ,Профорги,Фото,</v>
      </c>
      <c r="F135" s="11">
        <v>8.9629614545E10</v>
      </c>
      <c r="G135" s="42" t="s">
        <v>657</v>
      </c>
      <c r="H135" s="26" t="s">
        <v>658</v>
      </c>
      <c r="I135" s="43" t="s">
        <v>659</v>
      </c>
      <c r="J135" s="6" t="s">
        <v>22</v>
      </c>
    </row>
    <row r="136">
      <c r="A136" s="47" t="s">
        <v>660</v>
      </c>
      <c r="B136" s="2" t="str">
        <f t="shared" si="7"/>
        <v>Фомина Ольга</v>
      </c>
      <c r="C136" s="9">
        <v>318.0</v>
      </c>
      <c r="D136" s="10" t="s">
        <v>50</v>
      </c>
      <c r="E136" s="2" t="str">
        <f t="array" ref="E136">IF(ISERROR(MATCH(1,INDEX(('Списки блоков'!$B$2:$B986=B136)*(ROW('Списки блоков'!$B$2:$B986)&lt;&gt;ROW('Списки блоков'!$B$3)),0),0)),"","БДНС,")
&amp;IF(ISERROR(MATCH(1,INDEX(('Списки блоков'!$C$2:$C986=B136)*(ROW('Списки блоков'!$C$2:$C986)&lt;&gt;ROW('Списки блоков'!$C$3)),0),0)),"","Видеолаба,")
&amp;IF(ISERROR(MATCH(1,INDEX(('Списки блоков'!$D$2:$D986=B136)*(ROW('Списки блоков'!$D$2:$D986)&lt;&gt;ROW('Списки блоков'!$D$3)),0),0)),"","Декораторы,")
&amp;IF(ISERROR(MATCH(1,INDEX(('Списки блоков'!$E$2:$E986=B136)*(ROW('Списки блоков'!$E$2:$E986)&lt;&gt;ROW('Списки блоков'!$E$3)),0),0)),"","Дизайн,")
&amp;IF(ISERROR(MATCH(1,INDEX(('Списки блоков'!$F$2:$F986=B136)*(ROW('Списки блоков'!$F$2:$F986)&lt;&gt;ROW('Списки блоков'!$F$3)),0),0)),"","Досуг,")
&amp;IF(ISERROR(MATCH(1,INDEX(('Списки блоков'!$G$2:$G986=B136)*(ROW('Списки блоков'!$G$2:$G986)&lt;&gt;ROW('Списки блоков'!$G$3)),0),0)),"","Закупки,")
&amp;IF(ISERROR(MATCH(1,INDEX(('Списки блоков'!$H$2:$H986=B136)*(ROW('Списки блоков'!$H$2:$H986)&lt;&gt;ROW('Списки блоков'!$H$3)),0),0)),"","ИнфоБлок,")
&amp;IF(ISERROR(MATCH(1,INDEX(('Списки блоков'!$I$2:$I986=B136)*(ROW('Списки блоков'!$I$2:$I986)&lt;&gt;ROW('Списки блоков'!$I$3)),0),0)),"","КГ,")
&amp;IF(ISERROR(MATCH(1,INDEX(('Списки блоков'!$J$2:$J986=B136)*(ROW('Списки блоков'!$J$2:$J986)&lt;&gt;ROW('Списки блоков'!$J$3)),0),0)),"","МП,")
&amp;IF(ISERROR(MATCH(1,INDEX(('Списки блоков'!$K$2:$K986=B136)*(ROW('Списки блоков'!$K$2:$K986)&lt;&gt;ROW('Списки блоков'!$K$3)),0),0)),"","Профорги,")
&amp;IF(ISERROR(MATCH(1,INDEX(('Списки блоков'!$L$2:$L986=B136)*(ROW('Списки блоков'!$L$2:$L986)&lt;&gt;ROW('Списки блоков'!$L$3)),0),0)),"","Спонсоры,")
&amp;IF(ISERROR(MATCH(1,INDEX(('Списки блоков'!$M$2:$M986=B136)*(ROW('Списки блоков'!$M$2:$M986)&lt;&gt;ROW('Списки блоков'!$M$3)),0),0)),"","Склад,")
&amp;IF(ISERROR(MATCH(1,INDEX(('Списки блоков'!$N$2:$N986=B136)*(ROW('Списки блоков'!$N$2:$N986)&lt;&gt;ROW('Списки блоков'!$N$3)),0),0)),"","Сценаристы,")
&amp;IF(ISERROR(MATCH(1,INDEX(('Списки блоков'!$O$2:$O986=B136)*(ROW('Списки блоков'!$O$2:$O986)&lt;&gt;ROW('Списки блоков'!$O$3)),0),0)),"","Техники,")
&amp;IF(ISERROR(MATCH(1,INDEX(('Списки блоков'!$P$2:$P986=B136)*(ROW('Списки блоков'!$P$2:$P986)&lt;&gt;ROW('Списки блоков'!$P$3)),0),0)),"","УРС,")
&amp;IF(ISERROR(MATCH(1,INDEX(('Списки блоков'!$Q$2:$Q986=B136)*(ROW('Списки блоков'!$Q$2:$Q986)&lt;&gt;ROW('Списки блоков'!$Q$3)),0),0)),"","Фото,")
&amp;IF(ISERROR(MATCH(1,INDEX((#REF!=B136)*(ROW(#REF!)&lt;&gt;ROW(#REF!)),0),0)),"","ЭкоБлок,")
&amp;IF(ISERROR(MATCH(1,INDEX(('Списки блоков'!$R$2:$R986=B136)*(ROW('Списки блоков'!$R$2:$R986)&lt;&gt;ROW('Списки блоков'!$R$3)),0),0)),"","HR,")
&amp;IF(ISERROR(MATCH(1,INDEX(('Списки блоков'!$S$2:$S986=B136)*(ROW('Списки блоков'!$S$2:$S986)&lt;&gt;ROW('Списки блоков'!$S$3)),0),0)),"","Instagram,")
&amp;IF(ISERROR(MATCH(1,INDEX(('Списки блоков'!$T$2:$T986=B136)*(ROW('Списки блоков'!$T$2:$T986)&lt;&gt;ROW('Списки блоков'!$T$3)),0),0)),"","Zachёt,")
&amp;IF(ISERROR(MATCH(1,INDEX(('Списки блоков'!$U$2:$U986=B136)*(ROW('Списки блоков'!$U$2:$U986)&lt;&gt;ROW('Списки блоков'!$U$3)),0),0)),"","IT,")
&amp;IF(ISERROR(MATCH(1,INDEX(('Списки блоков'!$V$2:$V986=B136)*(ROW('Списки блоков'!$V$2:$V986)&lt;&gt;ROW('Списки блоков'!$V$3)),0),0)),"","ДК,")
</f>
        <v>Закупки,Фото,Instagram,</v>
      </c>
      <c r="F136" s="14">
        <v>8.9172137361E10</v>
      </c>
      <c r="G136" s="42" t="s">
        <v>661</v>
      </c>
      <c r="H136" s="26" t="s">
        <v>662</v>
      </c>
      <c r="I136" s="43" t="s">
        <v>663</v>
      </c>
      <c r="J136" s="6" t="s">
        <v>22</v>
      </c>
    </row>
    <row r="137">
      <c r="A137" s="57" t="s">
        <v>664</v>
      </c>
      <c r="B137" s="2" t="str">
        <f t="shared" si="7"/>
        <v>Фоминых Владимир</v>
      </c>
      <c r="C137" s="3">
        <v>117.0</v>
      </c>
      <c r="D137" s="2" t="s">
        <v>665</v>
      </c>
      <c r="E137" s="2" t="str">
        <f t="array" ref="E137">IF(ISERROR(MATCH(1,INDEX(('Списки блоков'!$B$2:$B986=B137)*(ROW('Списки блоков'!$B$2:$B986)&lt;&gt;ROW('Списки блоков'!$B$3)),0),0)),"","БДНС,")
&amp;IF(ISERROR(MATCH(1,INDEX(('Списки блоков'!$C$2:$C986=B137)*(ROW('Списки блоков'!$C$2:$C986)&lt;&gt;ROW('Списки блоков'!$C$3)),0),0)),"","Видеолаба,")
&amp;IF(ISERROR(MATCH(1,INDEX(('Списки блоков'!$D$2:$D986=B137)*(ROW('Списки блоков'!$D$2:$D986)&lt;&gt;ROW('Списки блоков'!$D$3)),0),0)),"","Декораторы,")
&amp;IF(ISERROR(MATCH(1,INDEX(('Списки блоков'!$E$2:$E986=B137)*(ROW('Списки блоков'!$E$2:$E986)&lt;&gt;ROW('Списки блоков'!$E$3)),0),0)),"","Дизайн,")
&amp;IF(ISERROR(MATCH(1,INDEX(('Списки блоков'!$F$2:$F986=B137)*(ROW('Списки блоков'!$F$2:$F986)&lt;&gt;ROW('Списки блоков'!$F$3)),0),0)),"","Досуг,")
&amp;IF(ISERROR(MATCH(1,INDEX(('Списки блоков'!$G$2:$G986=B137)*(ROW('Списки блоков'!$G$2:$G986)&lt;&gt;ROW('Списки блоков'!$G$3)),0),0)),"","Закупки,")
&amp;IF(ISERROR(MATCH(1,INDEX(('Списки блоков'!$H$2:$H986=B137)*(ROW('Списки блоков'!$H$2:$H986)&lt;&gt;ROW('Списки блоков'!$H$3)),0),0)),"","ИнфоБлок,")
&amp;IF(ISERROR(MATCH(1,INDEX(('Списки блоков'!$I$2:$I986=B137)*(ROW('Списки блоков'!$I$2:$I986)&lt;&gt;ROW('Списки блоков'!$I$3)),0),0)),"","КГ,")
&amp;IF(ISERROR(MATCH(1,INDEX(('Списки блоков'!$J$2:$J986=B137)*(ROW('Списки блоков'!$J$2:$J986)&lt;&gt;ROW('Списки блоков'!$J$3)),0),0)),"","МП,")
&amp;IF(ISERROR(MATCH(1,INDEX(('Списки блоков'!$K$2:$K986=B137)*(ROW('Списки блоков'!$K$2:$K986)&lt;&gt;ROW('Списки блоков'!$K$3)),0),0)),"","Профорги,")
&amp;IF(ISERROR(MATCH(1,INDEX(('Списки блоков'!$L$2:$L986=B137)*(ROW('Списки блоков'!$L$2:$L986)&lt;&gt;ROW('Списки блоков'!$L$3)),0),0)),"","Спонсоры,")
&amp;IF(ISERROR(MATCH(1,INDEX(('Списки блоков'!$M$2:$M986=B137)*(ROW('Списки блоков'!$M$2:$M986)&lt;&gt;ROW('Списки блоков'!$M$3)),0),0)),"","Склад,")
&amp;IF(ISERROR(MATCH(1,INDEX(('Списки блоков'!$N$2:$N986=B137)*(ROW('Списки блоков'!$N$2:$N986)&lt;&gt;ROW('Списки блоков'!$N$3)),0),0)),"","Сценаристы,")
&amp;IF(ISERROR(MATCH(1,INDEX(('Списки блоков'!$O$2:$O986=B137)*(ROW('Списки блоков'!$O$2:$O986)&lt;&gt;ROW('Списки блоков'!$O$3)),0),0)),"","Техники,")
&amp;IF(ISERROR(MATCH(1,INDEX(('Списки блоков'!$P$2:$P986=B137)*(ROW('Списки блоков'!$P$2:$P986)&lt;&gt;ROW('Списки блоков'!$P$3)),0),0)),"","УРС,")
&amp;IF(ISERROR(MATCH(1,INDEX(('Списки блоков'!$Q$2:$Q986=B137)*(ROW('Списки блоков'!$Q$2:$Q986)&lt;&gt;ROW('Списки блоков'!$Q$3)),0),0)),"","Фото,")
&amp;IF(ISERROR(MATCH(1,INDEX((#REF!=B137)*(ROW(#REF!)&lt;&gt;ROW(#REF!)),0),0)),"","ЭкоБлок,")
&amp;IF(ISERROR(MATCH(1,INDEX(('Списки блоков'!$R$2:$R986=B137)*(ROW('Списки блоков'!$R$2:$R986)&lt;&gt;ROW('Списки блоков'!$R$3)),0),0)),"","HR,")
&amp;IF(ISERROR(MATCH(1,INDEX(('Списки блоков'!$S$2:$S986=B137)*(ROW('Списки блоков'!$S$2:$S986)&lt;&gt;ROW('Списки блоков'!$S$3)),0),0)),"","Instagram,")
&amp;IF(ISERROR(MATCH(1,INDEX(('Списки блоков'!$T$2:$T986=B137)*(ROW('Списки блоков'!$T$2:$T986)&lt;&gt;ROW('Списки блоков'!$T$3)),0),0)),"","Zachёt,")
&amp;IF(ISERROR(MATCH(1,INDEX(('Списки блоков'!$U$2:$U986=B137)*(ROW('Списки блоков'!$U$2:$U986)&lt;&gt;ROW('Списки блоков'!$U$3)),0),0)),"","IT,")
&amp;IF(ISERROR(MATCH(1,INDEX(('Списки блоков'!$V$2:$V986=B137)*(ROW('Списки блоков'!$V$2:$V986)&lt;&gt;ROW('Списки блоков'!$V$3)),0),0)),"","ДК,")
</f>
        <v>Декораторы,IT,</v>
      </c>
      <c r="F137" s="4">
        <v>8.9619333607E10</v>
      </c>
      <c r="G137" s="45" t="s">
        <v>666</v>
      </c>
      <c r="H137" s="49" t="s">
        <v>667</v>
      </c>
      <c r="I137" s="46" t="s">
        <v>668</v>
      </c>
      <c r="J137" s="7" t="s">
        <v>15</v>
      </c>
    </row>
    <row r="138">
      <c r="A138" s="30" t="s">
        <v>669</v>
      </c>
      <c r="B138" s="2" t="str">
        <f t="shared" si="7"/>
        <v>Фролова Ольга</v>
      </c>
      <c r="C138" s="3">
        <v>423.0</v>
      </c>
      <c r="D138" s="2" t="s">
        <v>670</v>
      </c>
      <c r="E138" s="2" t="str">
        <f t="array" ref="E138">IF(ISERROR(MATCH(1,INDEX(('Списки блоков'!$B$2:$B986=B138)*(ROW('Списки блоков'!$B$2:$B986)&lt;&gt;ROW('Списки блоков'!$B$3)),0),0)),"","БДНС,")
&amp;IF(ISERROR(MATCH(1,INDEX(('Списки блоков'!$C$2:$C986=B138)*(ROW('Списки блоков'!$C$2:$C986)&lt;&gt;ROW('Списки блоков'!$C$3)),0),0)),"","Видеолаба,")
&amp;IF(ISERROR(MATCH(1,INDEX(('Списки блоков'!$D$2:$D986=B138)*(ROW('Списки блоков'!$D$2:$D986)&lt;&gt;ROW('Списки блоков'!$D$3)),0),0)),"","Декораторы,")
&amp;IF(ISERROR(MATCH(1,INDEX(('Списки блоков'!$E$2:$E986=B138)*(ROW('Списки блоков'!$E$2:$E986)&lt;&gt;ROW('Списки блоков'!$E$3)),0),0)),"","Дизайн,")
&amp;IF(ISERROR(MATCH(1,INDEX(('Списки блоков'!$F$2:$F986=B138)*(ROW('Списки блоков'!$F$2:$F986)&lt;&gt;ROW('Списки блоков'!$F$3)),0),0)),"","Досуг,")
&amp;IF(ISERROR(MATCH(1,INDEX(('Списки блоков'!$G$2:$G986=B138)*(ROW('Списки блоков'!$G$2:$G986)&lt;&gt;ROW('Списки блоков'!$G$3)),0),0)),"","Закупки,")
&amp;IF(ISERROR(MATCH(1,INDEX(('Списки блоков'!$H$2:$H986=B138)*(ROW('Списки блоков'!$H$2:$H986)&lt;&gt;ROW('Списки блоков'!$H$3)),0),0)),"","ИнфоБлок,")
&amp;IF(ISERROR(MATCH(1,INDEX(('Списки блоков'!$I$2:$I986=B138)*(ROW('Списки блоков'!$I$2:$I986)&lt;&gt;ROW('Списки блоков'!$I$3)),0),0)),"","КГ,")
&amp;IF(ISERROR(MATCH(1,INDEX(('Списки блоков'!$J$2:$J986=B138)*(ROW('Списки блоков'!$J$2:$J986)&lt;&gt;ROW('Списки блоков'!$J$3)),0),0)),"","МП,")
&amp;IF(ISERROR(MATCH(1,INDEX(('Списки блоков'!$K$2:$K986=B138)*(ROW('Списки блоков'!$K$2:$K986)&lt;&gt;ROW('Списки блоков'!$K$3)),0),0)),"","Профорги,")
&amp;IF(ISERROR(MATCH(1,INDEX(('Списки блоков'!$L$2:$L986=B138)*(ROW('Списки блоков'!$L$2:$L986)&lt;&gt;ROW('Списки блоков'!$L$3)),0),0)),"","Спонсоры,")
&amp;IF(ISERROR(MATCH(1,INDEX(('Списки блоков'!$M$2:$M986=B138)*(ROW('Списки блоков'!$M$2:$M986)&lt;&gt;ROW('Списки блоков'!$M$3)),0),0)),"","Склад,")
&amp;IF(ISERROR(MATCH(1,INDEX(('Списки блоков'!$N$2:$N986=B138)*(ROW('Списки блоков'!$N$2:$N986)&lt;&gt;ROW('Списки блоков'!$N$3)),0),0)),"","Сценаристы,")
&amp;IF(ISERROR(MATCH(1,INDEX(('Списки блоков'!$O$2:$O986=B138)*(ROW('Списки блоков'!$O$2:$O986)&lt;&gt;ROW('Списки блоков'!$O$3)),0),0)),"","Техники,")
&amp;IF(ISERROR(MATCH(1,INDEX(('Списки блоков'!$P$2:$P986=B138)*(ROW('Списки блоков'!$P$2:$P986)&lt;&gt;ROW('Списки блоков'!$P$3)),0),0)),"","УРС,")
&amp;IF(ISERROR(MATCH(1,INDEX(('Списки блоков'!$Q$2:$Q986=B138)*(ROW('Списки блоков'!$Q$2:$Q986)&lt;&gt;ROW('Списки блоков'!$Q$3)),0),0)),"","Фото,")
&amp;IF(ISERROR(MATCH(1,INDEX((#REF!=B138)*(ROW(#REF!)&lt;&gt;ROW(#REF!)),0),0)),"","ЭкоБлок,")
&amp;IF(ISERROR(MATCH(1,INDEX(('Списки блоков'!$R$2:$R986=B138)*(ROW('Списки блоков'!$R$2:$R986)&lt;&gt;ROW('Списки блоков'!$R$3)),0),0)),"","HR,")
&amp;IF(ISERROR(MATCH(1,INDEX(('Списки блоков'!$S$2:$S986=B138)*(ROW('Списки блоков'!$S$2:$S986)&lt;&gt;ROW('Списки блоков'!$S$3)),0),0)),"","Instagram,")
&amp;IF(ISERROR(MATCH(1,INDEX(('Списки блоков'!$T$2:$T986=B138)*(ROW('Списки блоков'!$T$2:$T986)&lt;&gt;ROW('Списки блоков'!$T$3)),0),0)),"","Zachёt,")
&amp;IF(ISERROR(MATCH(1,INDEX(('Списки блоков'!$U$2:$U986=B138)*(ROW('Списки блоков'!$U$2:$U986)&lt;&gt;ROW('Списки блоков'!$U$3)),0),0)),"","IT,")
&amp;IF(ISERROR(MATCH(1,INDEX(('Списки блоков'!$V$2:$V986=B138)*(ROW('Списки блоков'!$V$2:$V986)&lt;&gt;ROW('Списки блоков'!$V$3)),0),0)),"","ДК,")
</f>
        <v>Декораторы,Сценаристы,УРС,</v>
      </c>
      <c r="F138" s="8">
        <v>8.9325473313E10</v>
      </c>
      <c r="G138" s="61" t="s">
        <v>671</v>
      </c>
      <c r="H138" s="62" t="s">
        <v>672</v>
      </c>
      <c r="I138" s="63" t="s">
        <v>673</v>
      </c>
      <c r="J138" s="7" t="s">
        <v>22</v>
      </c>
    </row>
    <row r="139">
      <c r="A139" s="10" t="s">
        <v>674</v>
      </c>
      <c r="B139" s="2" t="str">
        <f t="shared" si="7"/>
        <v>Фролова Ульяна</v>
      </c>
      <c r="C139" s="9">
        <v>105.0</v>
      </c>
      <c r="D139" s="10" t="s">
        <v>50</v>
      </c>
      <c r="E139" s="2" t="str">
        <f t="array" ref="E139">IF(ISERROR(MATCH(1,INDEX(('Списки блоков'!$B$2:$B986=B139)*(ROW('Списки блоков'!$B$2:$B986)&lt;&gt;ROW('Списки блоков'!$B$3)),0),0)),"","БДНС,")
&amp;IF(ISERROR(MATCH(1,INDEX(('Списки блоков'!$C$2:$C986=B139)*(ROW('Списки блоков'!$C$2:$C986)&lt;&gt;ROW('Списки блоков'!$C$3)),0),0)),"","Видеолаба,")
&amp;IF(ISERROR(MATCH(1,INDEX(('Списки блоков'!$D$2:$D986=B139)*(ROW('Списки блоков'!$D$2:$D986)&lt;&gt;ROW('Списки блоков'!$D$3)),0),0)),"","Декораторы,")
&amp;IF(ISERROR(MATCH(1,INDEX(('Списки блоков'!$E$2:$E986=B139)*(ROW('Списки блоков'!$E$2:$E986)&lt;&gt;ROW('Списки блоков'!$E$3)),0),0)),"","Дизайн,")
&amp;IF(ISERROR(MATCH(1,INDEX(('Списки блоков'!$F$2:$F986=B139)*(ROW('Списки блоков'!$F$2:$F986)&lt;&gt;ROW('Списки блоков'!$F$3)),0),0)),"","Досуг,")
&amp;IF(ISERROR(MATCH(1,INDEX(('Списки блоков'!$G$2:$G986=B139)*(ROW('Списки блоков'!$G$2:$G986)&lt;&gt;ROW('Списки блоков'!$G$3)),0),0)),"","Закупки,")
&amp;IF(ISERROR(MATCH(1,INDEX(('Списки блоков'!$H$2:$H986=B139)*(ROW('Списки блоков'!$H$2:$H986)&lt;&gt;ROW('Списки блоков'!$H$3)),0),0)),"","ИнфоБлок,")
&amp;IF(ISERROR(MATCH(1,INDEX(('Списки блоков'!$I$2:$I986=B139)*(ROW('Списки блоков'!$I$2:$I986)&lt;&gt;ROW('Списки блоков'!$I$3)),0),0)),"","КГ,")
&amp;IF(ISERROR(MATCH(1,INDEX(('Списки блоков'!$J$2:$J986=B139)*(ROW('Списки блоков'!$J$2:$J986)&lt;&gt;ROW('Списки блоков'!$J$3)),0),0)),"","МП,")
&amp;IF(ISERROR(MATCH(1,INDEX(('Списки блоков'!$K$2:$K986=B139)*(ROW('Списки блоков'!$K$2:$K986)&lt;&gt;ROW('Списки блоков'!$K$3)),0),0)),"","Профорги,")
&amp;IF(ISERROR(MATCH(1,INDEX(('Списки блоков'!$L$2:$L986=B139)*(ROW('Списки блоков'!$L$2:$L986)&lt;&gt;ROW('Списки блоков'!$L$3)),0),0)),"","Спонсоры,")
&amp;IF(ISERROR(MATCH(1,INDEX(('Списки блоков'!$M$2:$M986=B139)*(ROW('Списки блоков'!$M$2:$M986)&lt;&gt;ROW('Списки блоков'!$M$3)),0),0)),"","Склад,")
&amp;IF(ISERROR(MATCH(1,INDEX(('Списки блоков'!$N$2:$N986=B139)*(ROW('Списки блоков'!$N$2:$N986)&lt;&gt;ROW('Списки блоков'!$N$3)),0),0)),"","Сценаристы,")
&amp;IF(ISERROR(MATCH(1,INDEX(('Списки блоков'!$O$2:$O986=B139)*(ROW('Списки блоков'!$O$2:$O986)&lt;&gt;ROW('Списки блоков'!$O$3)),0),0)),"","Техники,")
&amp;IF(ISERROR(MATCH(1,INDEX(('Списки блоков'!$P$2:$P986=B139)*(ROW('Списки блоков'!$P$2:$P986)&lt;&gt;ROW('Списки блоков'!$P$3)),0),0)),"","УРС,")
&amp;IF(ISERROR(MATCH(1,INDEX(('Списки блоков'!$Q$2:$Q986=B139)*(ROW('Списки блоков'!$Q$2:$Q986)&lt;&gt;ROW('Списки блоков'!$Q$3)),0),0)),"","Фото,")
&amp;IF(ISERROR(MATCH(1,INDEX((#REF!=B139)*(ROW(#REF!)&lt;&gt;ROW(#REF!)),0),0)),"","ЭкоБлок,")
&amp;IF(ISERROR(MATCH(1,INDEX(('Списки блоков'!$R$2:$R986=B139)*(ROW('Списки блоков'!$R$2:$R986)&lt;&gt;ROW('Списки блоков'!$R$3)),0),0)),"","HR,")
&amp;IF(ISERROR(MATCH(1,INDEX(('Списки блоков'!$S$2:$S986=B139)*(ROW('Списки блоков'!$S$2:$S986)&lt;&gt;ROW('Списки блоков'!$S$3)),0),0)),"","Instagram,")
&amp;IF(ISERROR(MATCH(1,INDEX(('Списки блоков'!$T$2:$T986=B139)*(ROW('Списки блоков'!$T$2:$T986)&lt;&gt;ROW('Списки блоков'!$T$3)),0),0)),"","Zachёt,")
&amp;IF(ISERROR(MATCH(1,INDEX(('Списки блоков'!$U$2:$U986=B139)*(ROW('Списки блоков'!$U$2:$U986)&lt;&gt;ROW('Списки блоков'!$U$3)),0),0)),"","IT,")
&amp;IF(ISERROR(MATCH(1,INDEX(('Списки блоков'!$V$2:$V986=B139)*(ROW('Списки блоков'!$V$2:$V986)&lt;&gt;ROW('Списки блоков'!$V$3)),0),0)),"","ДК,")
</f>
        <v>Декораторы,Дизайн,Закупки,</v>
      </c>
      <c r="F139" s="11">
        <v>8.9524705405E10</v>
      </c>
      <c r="G139" s="12" t="s">
        <v>675</v>
      </c>
      <c r="H139" s="10" t="s">
        <v>676</v>
      </c>
      <c r="I139" s="10" t="s">
        <v>677</v>
      </c>
      <c r="J139" s="6" t="s">
        <v>22</v>
      </c>
    </row>
    <row r="140">
      <c r="A140" s="2" t="s">
        <v>678</v>
      </c>
      <c r="B140" s="2" t="str">
        <f t="shared" si="7"/>
        <v>Хромова Анастасия</v>
      </c>
      <c r="C140" s="3">
        <v>101.0</v>
      </c>
      <c r="D140" s="2" t="s">
        <v>50</v>
      </c>
      <c r="E140" s="2" t="str">
        <f t="array" ref="E140">IF(ISERROR(MATCH(1,INDEX(('Списки блоков'!$B$2:$B986=B140)*(ROW('Списки блоков'!$B$2:$B986)&lt;&gt;ROW('Списки блоков'!$B$3)),0),0)),"","БДНС,")
&amp;IF(ISERROR(MATCH(1,INDEX(('Списки блоков'!$C$2:$C986=B140)*(ROW('Списки блоков'!$C$2:$C986)&lt;&gt;ROW('Списки блоков'!$C$3)),0),0)),"","Видеолаба,")
&amp;IF(ISERROR(MATCH(1,INDEX(('Списки блоков'!$D$2:$D986=B140)*(ROW('Списки блоков'!$D$2:$D986)&lt;&gt;ROW('Списки блоков'!$D$3)),0),0)),"","Декораторы,")
&amp;IF(ISERROR(MATCH(1,INDEX(('Списки блоков'!$E$2:$E986=B140)*(ROW('Списки блоков'!$E$2:$E986)&lt;&gt;ROW('Списки блоков'!$E$3)),0),0)),"","Дизайн,")
&amp;IF(ISERROR(MATCH(1,INDEX(('Списки блоков'!$F$2:$F986=B140)*(ROW('Списки блоков'!$F$2:$F986)&lt;&gt;ROW('Списки блоков'!$F$3)),0),0)),"","Досуг,")
&amp;IF(ISERROR(MATCH(1,INDEX(('Списки блоков'!$G$2:$G986=B140)*(ROW('Списки блоков'!$G$2:$G986)&lt;&gt;ROW('Списки блоков'!$G$3)),0),0)),"","Закупки,")
&amp;IF(ISERROR(MATCH(1,INDEX(('Списки блоков'!$H$2:$H986=B140)*(ROW('Списки блоков'!$H$2:$H986)&lt;&gt;ROW('Списки блоков'!$H$3)),0),0)),"","ИнфоБлок,")
&amp;IF(ISERROR(MATCH(1,INDEX(('Списки блоков'!$I$2:$I986=B140)*(ROW('Списки блоков'!$I$2:$I986)&lt;&gt;ROW('Списки блоков'!$I$3)),0),0)),"","КГ,")
&amp;IF(ISERROR(MATCH(1,INDEX(('Списки блоков'!$J$2:$J986=B140)*(ROW('Списки блоков'!$J$2:$J986)&lt;&gt;ROW('Списки блоков'!$J$3)),0),0)),"","МП,")
&amp;IF(ISERROR(MATCH(1,INDEX(('Списки блоков'!$K$2:$K986=B140)*(ROW('Списки блоков'!$K$2:$K986)&lt;&gt;ROW('Списки блоков'!$K$3)),0),0)),"","Профорги,")
&amp;IF(ISERROR(MATCH(1,INDEX(('Списки блоков'!$L$2:$L986=B140)*(ROW('Списки блоков'!$L$2:$L986)&lt;&gt;ROW('Списки блоков'!$L$3)),0),0)),"","Спонсоры,")
&amp;IF(ISERROR(MATCH(1,INDEX(('Списки блоков'!$M$2:$M986=B140)*(ROW('Списки блоков'!$M$2:$M986)&lt;&gt;ROW('Списки блоков'!$M$3)),0),0)),"","Склад,")
&amp;IF(ISERROR(MATCH(1,INDEX(('Списки блоков'!$N$2:$N986=B140)*(ROW('Списки блоков'!$N$2:$N986)&lt;&gt;ROW('Списки блоков'!$N$3)),0),0)),"","Сценаристы,")
&amp;IF(ISERROR(MATCH(1,INDEX(('Списки блоков'!$O$2:$O986=B140)*(ROW('Списки блоков'!$O$2:$O986)&lt;&gt;ROW('Списки блоков'!$O$3)),0),0)),"","Техники,")
&amp;IF(ISERROR(MATCH(1,INDEX(('Списки блоков'!$P$2:$P986=B140)*(ROW('Списки блоков'!$P$2:$P986)&lt;&gt;ROW('Списки блоков'!$P$3)),0),0)),"","УРС,")
&amp;IF(ISERROR(MATCH(1,INDEX(('Списки блоков'!$Q$2:$Q986=B140)*(ROW('Списки блоков'!$Q$2:$Q986)&lt;&gt;ROW('Списки блоков'!$Q$3)),0),0)),"","Фото,")
&amp;IF(ISERROR(MATCH(1,INDEX((#REF!=B140)*(ROW(#REF!)&lt;&gt;ROW(#REF!)),0),0)),"","ЭкоБлок,")
&amp;IF(ISERROR(MATCH(1,INDEX(('Списки блоков'!$R$2:$R986=B140)*(ROW('Списки блоков'!$R$2:$R986)&lt;&gt;ROW('Списки блоков'!$R$3)),0),0)),"","HR,")
&amp;IF(ISERROR(MATCH(1,INDEX(('Списки блоков'!$S$2:$S986=B140)*(ROW('Списки блоков'!$S$2:$S986)&lt;&gt;ROW('Списки блоков'!$S$3)),0),0)),"","Instagram,")
&amp;IF(ISERROR(MATCH(1,INDEX(('Списки блоков'!$T$2:$T986=B140)*(ROW('Списки блоков'!$T$2:$T986)&lt;&gt;ROW('Списки блоков'!$T$3)),0),0)),"","Zachёt,")
&amp;IF(ISERROR(MATCH(1,INDEX(('Списки блоков'!$U$2:$U986=B140)*(ROW('Списки блоков'!$U$2:$U986)&lt;&gt;ROW('Списки блоков'!$U$3)),0),0)),"","IT,")
&amp;IF(ISERROR(MATCH(1,INDEX(('Списки блоков'!$V$2:$V986=B140)*(ROW('Списки блоков'!$V$2:$V986)&lt;&gt;ROW('Списки блоков'!$V$3)),0),0)),"","ДК,")
</f>
        <v>Видеолаба,Декораторы,Дизайн,Фото,</v>
      </c>
      <c r="F140" s="8">
        <v>8.9657264984E10</v>
      </c>
      <c r="G140" s="2" t="s">
        <v>679</v>
      </c>
      <c r="H140" s="2" t="s">
        <v>680</v>
      </c>
      <c r="I140" s="2" t="s">
        <v>681</v>
      </c>
      <c r="J140" s="7" t="s">
        <v>22</v>
      </c>
    </row>
    <row r="141">
      <c r="A141" s="7" t="s">
        <v>682</v>
      </c>
      <c r="B141" s="2" t="str">
        <f t="shared" si="7"/>
        <v>Худяков Даниил</v>
      </c>
      <c r="C141" s="19" t="s">
        <v>683</v>
      </c>
      <c r="D141" s="7" t="s">
        <v>684</v>
      </c>
      <c r="E141" s="2" t="str">
        <f t="array" ref="E141">IF(ISERROR(MATCH(1,INDEX(('Списки блоков'!$B$2:$B986=B141)*(ROW('Списки блоков'!$B$2:$B986)&lt;&gt;ROW('Списки блоков'!$B$3)),0),0)),"","БДНС,")
&amp;IF(ISERROR(MATCH(1,INDEX(('Списки блоков'!$C$2:$C986=B141)*(ROW('Списки блоков'!$C$2:$C986)&lt;&gt;ROW('Списки блоков'!$C$3)),0),0)),"","Видеолаба,")
&amp;IF(ISERROR(MATCH(1,INDEX(('Списки блоков'!$D$2:$D986=B141)*(ROW('Списки блоков'!$D$2:$D986)&lt;&gt;ROW('Списки блоков'!$D$3)),0),0)),"","Декораторы,")
&amp;IF(ISERROR(MATCH(1,INDEX(('Списки блоков'!$E$2:$E986=B141)*(ROW('Списки блоков'!$E$2:$E986)&lt;&gt;ROW('Списки блоков'!$E$3)),0),0)),"","Дизайн,")
&amp;IF(ISERROR(MATCH(1,INDEX(('Списки блоков'!$F$2:$F986=B141)*(ROW('Списки блоков'!$F$2:$F986)&lt;&gt;ROW('Списки блоков'!$F$3)),0),0)),"","Досуг,")
&amp;IF(ISERROR(MATCH(1,INDEX(('Списки блоков'!$G$2:$G986=B141)*(ROW('Списки блоков'!$G$2:$G986)&lt;&gt;ROW('Списки блоков'!$G$3)),0),0)),"","Закупки,")
&amp;IF(ISERROR(MATCH(1,INDEX(('Списки блоков'!$H$2:$H986=B141)*(ROW('Списки блоков'!$H$2:$H986)&lt;&gt;ROW('Списки блоков'!$H$3)),0),0)),"","ИнфоБлок,")
&amp;IF(ISERROR(MATCH(1,INDEX(('Списки блоков'!$I$2:$I986=B141)*(ROW('Списки блоков'!$I$2:$I986)&lt;&gt;ROW('Списки блоков'!$I$3)),0),0)),"","КГ,")
&amp;IF(ISERROR(MATCH(1,INDEX(('Списки блоков'!$J$2:$J986=B141)*(ROW('Списки блоков'!$J$2:$J986)&lt;&gt;ROW('Списки блоков'!$J$3)),0),0)),"","МП,")
&amp;IF(ISERROR(MATCH(1,INDEX(('Списки блоков'!$K$2:$K986=B141)*(ROW('Списки блоков'!$K$2:$K986)&lt;&gt;ROW('Списки блоков'!$K$3)),0),0)),"","Профорги,")
&amp;IF(ISERROR(MATCH(1,INDEX(('Списки блоков'!$L$2:$L986=B141)*(ROW('Списки блоков'!$L$2:$L986)&lt;&gt;ROW('Списки блоков'!$L$3)),0),0)),"","Спонсоры,")
&amp;IF(ISERROR(MATCH(1,INDEX(('Списки блоков'!$M$2:$M986=B141)*(ROW('Списки блоков'!$M$2:$M986)&lt;&gt;ROW('Списки блоков'!$M$3)),0),0)),"","Склад,")
&amp;IF(ISERROR(MATCH(1,INDEX(('Списки блоков'!$N$2:$N986=B141)*(ROW('Списки блоков'!$N$2:$N986)&lt;&gt;ROW('Списки блоков'!$N$3)),0),0)),"","Сценаристы,")
&amp;IF(ISERROR(MATCH(1,INDEX(('Списки блоков'!$O$2:$O986=B141)*(ROW('Списки блоков'!$O$2:$O986)&lt;&gt;ROW('Списки блоков'!$O$3)),0),0)),"","Техники,")
&amp;IF(ISERROR(MATCH(1,INDEX(('Списки блоков'!$P$2:$P986=B141)*(ROW('Списки блоков'!$P$2:$P986)&lt;&gt;ROW('Списки блоков'!$P$3)),0),0)),"","УРС,")
&amp;IF(ISERROR(MATCH(1,INDEX(('Списки блоков'!$Q$2:$Q986=B141)*(ROW('Списки блоков'!$Q$2:$Q986)&lt;&gt;ROW('Списки блоков'!$Q$3)),0),0)),"","Фото,")
&amp;IF(ISERROR(MATCH(1,INDEX((#REF!=B141)*(ROW(#REF!)&lt;&gt;ROW(#REF!)),0),0)),"","ЭкоБлок,")
&amp;IF(ISERROR(MATCH(1,INDEX(('Списки блоков'!$R$2:$R986=B141)*(ROW('Списки блоков'!$R$2:$R986)&lt;&gt;ROW('Списки блоков'!$R$3)),0),0)),"","HR,")
&amp;IF(ISERROR(MATCH(1,INDEX(('Списки блоков'!$S$2:$S986=B141)*(ROW('Списки блоков'!$S$2:$S986)&lt;&gt;ROW('Списки блоков'!$S$3)),0),0)),"","Instagram,")
&amp;IF(ISERROR(MATCH(1,INDEX(('Списки блоков'!$T$2:$T986=B141)*(ROW('Списки блоков'!$T$2:$T986)&lt;&gt;ROW('Списки блоков'!$T$3)),0),0)),"","Zachёt,")
&amp;IF(ISERROR(MATCH(1,INDEX(('Списки блоков'!$U$2:$U986=B141)*(ROW('Списки блоков'!$U$2:$U986)&lt;&gt;ROW('Списки блоков'!$U$3)),0),0)),"","IT,")
&amp;IF(ISERROR(MATCH(1,INDEX(('Списки блоков'!$V$2:$V986=B141)*(ROW('Списки блоков'!$V$2:$V986)&lt;&gt;ROW('Списки блоков'!$V$3)),0),0)),"","ДК,")
</f>
        <v>Досуг,</v>
      </c>
      <c r="F141" s="64">
        <v>8.91436128E10</v>
      </c>
      <c r="G141" s="20" t="s">
        <v>685</v>
      </c>
      <c r="H141" s="7" t="s">
        <v>686</v>
      </c>
      <c r="I141" s="7" t="s">
        <v>687</v>
      </c>
      <c r="J141" s="7" t="s">
        <v>22</v>
      </c>
    </row>
    <row r="142">
      <c r="A142" s="6" t="s">
        <v>688</v>
      </c>
      <c r="B142" s="2" t="str">
        <f t="shared" si="7"/>
        <v>Цуканов Максим</v>
      </c>
      <c r="C142" s="9">
        <v>219.0</v>
      </c>
      <c r="D142" s="10" t="s">
        <v>50</v>
      </c>
      <c r="E142" s="2" t="str">
        <f t="array" ref="E142">IF(ISERROR(MATCH(1,INDEX(('Списки блоков'!$B$2:$B986=B142)*(ROW('Списки блоков'!$B$2:$B986)&lt;&gt;ROW('Списки блоков'!$B$3)),0),0)),"","БДНС,")
&amp;IF(ISERROR(MATCH(1,INDEX(('Списки блоков'!$C$2:$C986=B142)*(ROW('Списки блоков'!$C$2:$C986)&lt;&gt;ROW('Списки блоков'!$C$3)),0),0)),"","Видеолаба,")
&amp;IF(ISERROR(MATCH(1,INDEX(('Списки блоков'!$D$2:$D986=B142)*(ROW('Списки блоков'!$D$2:$D986)&lt;&gt;ROW('Списки блоков'!$D$3)),0),0)),"","Декораторы,")
&amp;IF(ISERROR(MATCH(1,INDEX(('Списки блоков'!$E$2:$E986=B142)*(ROW('Списки блоков'!$E$2:$E986)&lt;&gt;ROW('Списки блоков'!$E$3)),0),0)),"","Дизайн,")
&amp;IF(ISERROR(MATCH(1,INDEX(('Списки блоков'!$F$2:$F986=B142)*(ROW('Списки блоков'!$F$2:$F986)&lt;&gt;ROW('Списки блоков'!$F$3)),0),0)),"","Досуг,")
&amp;IF(ISERROR(MATCH(1,INDEX(('Списки блоков'!$G$2:$G986=B142)*(ROW('Списки блоков'!$G$2:$G986)&lt;&gt;ROW('Списки блоков'!$G$3)),0),0)),"","Закупки,")
&amp;IF(ISERROR(MATCH(1,INDEX(('Списки блоков'!$H$2:$H986=B142)*(ROW('Списки блоков'!$H$2:$H986)&lt;&gt;ROW('Списки блоков'!$H$3)),0),0)),"","ИнфоБлок,")
&amp;IF(ISERROR(MATCH(1,INDEX(('Списки блоков'!$I$2:$I986=B142)*(ROW('Списки блоков'!$I$2:$I986)&lt;&gt;ROW('Списки блоков'!$I$3)),0),0)),"","КГ,")
&amp;IF(ISERROR(MATCH(1,INDEX(('Списки блоков'!$J$2:$J986=B142)*(ROW('Списки блоков'!$J$2:$J986)&lt;&gt;ROW('Списки блоков'!$J$3)),0),0)),"","МП,")
&amp;IF(ISERROR(MATCH(1,INDEX(('Списки блоков'!$K$2:$K986=B142)*(ROW('Списки блоков'!$K$2:$K986)&lt;&gt;ROW('Списки блоков'!$K$3)),0),0)),"","Профорги,")
&amp;IF(ISERROR(MATCH(1,INDEX(('Списки блоков'!$L$2:$L986=B142)*(ROW('Списки блоков'!$L$2:$L986)&lt;&gt;ROW('Списки блоков'!$L$3)),0),0)),"","Спонсоры,")
&amp;IF(ISERROR(MATCH(1,INDEX(('Списки блоков'!$M$2:$M986=B142)*(ROW('Списки блоков'!$M$2:$M986)&lt;&gt;ROW('Списки блоков'!$M$3)),0),0)),"","Склад,")
&amp;IF(ISERROR(MATCH(1,INDEX(('Списки блоков'!$N$2:$N986=B142)*(ROW('Списки блоков'!$N$2:$N986)&lt;&gt;ROW('Списки блоков'!$N$3)),0),0)),"","Сценаристы,")
&amp;IF(ISERROR(MATCH(1,INDEX(('Списки блоков'!$O$2:$O986=B142)*(ROW('Списки блоков'!$O$2:$O986)&lt;&gt;ROW('Списки блоков'!$O$3)),0),0)),"","Техники,")
&amp;IF(ISERROR(MATCH(1,INDEX(('Списки блоков'!$P$2:$P986=B142)*(ROW('Списки блоков'!$P$2:$P986)&lt;&gt;ROW('Списки блоков'!$P$3)),0),0)),"","УРС,")
&amp;IF(ISERROR(MATCH(1,INDEX(('Списки блоков'!$Q$2:$Q986=B142)*(ROW('Списки блоков'!$Q$2:$Q986)&lt;&gt;ROW('Списки блоков'!$Q$3)),0),0)),"","Фото,")
&amp;IF(ISERROR(MATCH(1,INDEX((#REF!=B142)*(ROW(#REF!)&lt;&gt;ROW(#REF!)),0),0)),"","ЭкоБлок,")
&amp;IF(ISERROR(MATCH(1,INDEX(('Списки блоков'!$R$2:$R986=B142)*(ROW('Списки блоков'!$R$2:$R986)&lt;&gt;ROW('Списки блоков'!$R$3)),0),0)),"","HR,")
&amp;IF(ISERROR(MATCH(1,INDEX(('Списки блоков'!$S$2:$S986=B142)*(ROW('Списки блоков'!$S$2:$S986)&lt;&gt;ROW('Списки блоков'!$S$3)),0),0)),"","Instagram,")
&amp;IF(ISERROR(MATCH(1,INDEX(('Списки блоков'!$T$2:$T986=B142)*(ROW('Списки блоков'!$T$2:$T986)&lt;&gt;ROW('Списки блоков'!$T$3)),0),0)),"","Zachёt,")
&amp;IF(ISERROR(MATCH(1,INDEX(('Списки блоков'!$U$2:$U986=B142)*(ROW('Списки блоков'!$U$2:$U986)&lt;&gt;ROW('Списки блоков'!$U$3)),0),0)),"","IT,")
&amp;IF(ISERROR(MATCH(1,INDEX(('Списки блоков'!$V$2:$V986=B142)*(ROW('Списки блоков'!$V$2:$V986)&lt;&gt;ROW('Списки блоков'!$V$3)),0),0)),"","ДК,")
</f>
        <v>Видеолаба,Закупки,ИнфоБлок,Техники,</v>
      </c>
      <c r="F142" s="14">
        <v>8.9187752171E10</v>
      </c>
      <c r="G142" s="12" t="s">
        <v>689</v>
      </c>
      <c r="H142" s="10" t="s">
        <v>690</v>
      </c>
      <c r="I142" s="10" t="s">
        <v>691</v>
      </c>
      <c r="J142" s="6" t="s">
        <v>22</v>
      </c>
    </row>
    <row r="143">
      <c r="A143" s="59" t="s">
        <v>692</v>
      </c>
      <c r="B143" s="7" t="s">
        <v>693</v>
      </c>
      <c r="C143" s="21">
        <v>219.0</v>
      </c>
      <c r="D143" s="22" t="s">
        <v>694</v>
      </c>
      <c r="E143" s="2" t="str">
        <f t="array" ref="E143">IF(ISERROR(MATCH(1,INDEX(('Списки блоков'!$B$2:$B986=B143)*(ROW('Списки блоков'!$B$2:$B986)&lt;&gt;ROW('Списки блоков'!$B$3)),0),0)),"","БДНС,")
&amp;IF(ISERROR(MATCH(1,INDEX(('Списки блоков'!$C$2:$C986=B143)*(ROW('Списки блоков'!$C$2:$C986)&lt;&gt;ROW('Списки блоков'!$C$3)),0),0)),"","Видеолаба,")
&amp;IF(ISERROR(MATCH(1,INDEX(('Списки блоков'!$D$2:$D986=B143)*(ROW('Списки блоков'!$D$2:$D986)&lt;&gt;ROW('Списки блоков'!$D$3)),0),0)),"","Декораторы,")
&amp;IF(ISERROR(MATCH(1,INDEX(('Списки блоков'!$E$2:$E986=B143)*(ROW('Списки блоков'!$E$2:$E986)&lt;&gt;ROW('Списки блоков'!$E$3)),0),0)),"","Дизайн,")
&amp;IF(ISERROR(MATCH(1,INDEX(('Списки блоков'!$F$2:$F986=B143)*(ROW('Списки блоков'!$F$2:$F986)&lt;&gt;ROW('Списки блоков'!$F$3)),0),0)),"","Досуг,")
&amp;IF(ISERROR(MATCH(1,INDEX(('Списки блоков'!$G$2:$G986=B143)*(ROW('Списки блоков'!$G$2:$G986)&lt;&gt;ROW('Списки блоков'!$G$3)),0),0)),"","Закупки,")
&amp;IF(ISERROR(MATCH(1,INDEX(('Списки блоков'!$H$2:$H986=B143)*(ROW('Списки блоков'!$H$2:$H986)&lt;&gt;ROW('Списки блоков'!$H$3)),0),0)),"","ИнфоБлок,")
&amp;IF(ISERROR(MATCH(1,INDEX(('Списки блоков'!$I$2:$I986=B143)*(ROW('Списки блоков'!$I$2:$I986)&lt;&gt;ROW('Списки блоков'!$I$3)),0),0)),"","КГ,")
&amp;IF(ISERROR(MATCH(1,INDEX(('Списки блоков'!$J$2:$J986=B143)*(ROW('Списки блоков'!$J$2:$J986)&lt;&gt;ROW('Списки блоков'!$J$3)),0),0)),"","МП,")
&amp;IF(ISERROR(MATCH(1,INDEX(('Списки блоков'!$K$2:$K986=B143)*(ROW('Списки блоков'!$K$2:$K986)&lt;&gt;ROW('Списки блоков'!$K$3)),0),0)),"","Профорги,")
&amp;IF(ISERROR(MATCH(1,INDEX(('Списки блоков'!$L$2:$L986=B143)*(ROW('Списки блоков'!$L$2:$L986)&lt;&gt;ROW('Списки блоков'!$L$3)),0),0)),"","Спонсоры,")
&amp;IF(ISERROR(MATCH(1,INDEX(('Списки блоков'!$M$2:$M986=B143)*(ROW('Списки блоков'!$M$2:$M986)&lt;&gt;ROW('Списки блоков'!$M$3)),0),0)),"","Склад,")
&amp;IF(ISERROR(MATCH(1,INDEX(('Списки блоков'!$N$2:$N986=B143)*(ROW('Списки блоков'!$N$2:$N986)&lt;&gt;ROW('Списки блоков'!$N$3)),0),0)),"","Сценаристы,")
&amp;IF(ISERROR(MATCH(1,INDEX(('Списки блоков'!$O$2:$O986=B143)*(ROW('Списки блоков'!$O$2:$O986)&lt;&gt;ROW('Списки блоков'!$O$3)),0),0)),"","Техники,")
&amp;IF(ISERROR(MATCH(1,INDEX(('Списки блоков'!$P$2:$P986=B143)*(ROW('Списки блоков'!$P$2:$P986)&lt;&gt;ROW('Списки блоков'!$P$3)),0),0)),"","УРС,")
&amp;IF(ISERROR(MATCH(1,INDEX(('Списки блоков'!$Q$2:$Q986=B143)*(ROW('Списки блоков'!$Q$2:$Q986)&lt;&gt;ROW('Списки блоков'!$Q$3)),0),0)),"","Фото,")
&amp;IF(ISERROR(MATCH(1,INDEX((#REF!=B143)*(ROW(#REF!)&lt;&gt;ROW(#REF!)),0),0)),"","ЭкоБлок,")
&amp;IF(ISERROR(MATCH(1,INDEX(('Списки блоков'!$R$2:$R986=B143)*(ROW('Списки блоков'!$R$2:$R986)&lt;&gt;ROW('Списки блоков'!$R$3)),0),0)),"","HR,")
&amp;IF(ISERROR(MATCH(1,INDEX(('Списки блоков'!$S$2:$S986=B143)*(ROW('Списки блоков'!$S$2:$S986)&lt;&gt;ROW('Списки блоков'!$S$3)),0),0)),"","Instagram,")
&amp;IF(ISERROR(MATCH(1,INDEX(('Списки блоков'!$T$2:$T986=B143)*(ROW('Списки блоков'!$T$2:$T986)&lt;&gt;ROW('Списки блоков'!$T$3)),0),0)),"","Zachёt,")
&amp;IF(ISERROR(MATCH(1,INDEX(('Списки блоков'!$U$2:$U986=B143)*(ROW('Списки блоков'!$U$2:$U986)&lt;&gt;ROW('Списки блоков'!$U$3)),0),0)),"","IT,")
&amp;IF(ISERROR(MATCH(1,INDEX(('Списки блоков'!$V$2:$V986=B143)*(ROW('Списки блоков'!$V$2:$V986)&lt;&gt;ROW('Списки блоков'!$V$3)),0),0)),"","ДК,")
</f>
        <v>Декораторы,Сценаристы,</v>
      </c>
      <c r="F143" s="65">
        <v>8.9641918316E10</v>
      </c>
      <c r="G143" s="23" t="s">
        <v>695</v>
      </c>
      <c r="H143" s="22" t="s">
        <v>696</v>
      </c>
      <c r="I143" s="22" t="s">
        <v>697</v>
      </c>
      <c r="J143" s="24" t="s">
        <v>15</v>
      </c>
    </row>
    <row r="144">
      <c r="A144" s="58" t="s">
        <v>698</v>
      </c>
      <c r="B144" s="2" t="str">
        <f t="shared" ref="B144:B152" si="8">LEFT(A144,FIND(CHAR(160),SUBSTITUTE(A144," ",CHAR(160),2)) - 1)</f>
        <v>Чистоперов Сергей</v>
      </c>
      <c r="C144" s="31">
        <v>302.0</v>
      </c>
      <c r="D144" s="30" t="s">
        <v>50</v>
      </c>
      <c r="E144" s="2" t="str">
        <f t="array" ref="E144">IF(ISERROR(MATCH(1,INDEX(('Списки блоков'!$B$2:$B986=B144)*(ROW('Списки блоков'!$B$2:$B986)&lt;&gt;ROW('Списки блоков'!$B$3)),0),0)),"","БДНС,")
&amp;IF(ISERROR(MATCH(1,INDEX(('Списки блоков'!$C$2:$C986=B144)*(ROW('Списки блоков'!$C$2:$C986)&lt;&gt;ROW('Списки блоков'!$C$3)),0),0)),"","Видеолаба,")
&amp;IF(ISERROR(MATCH(1,INDEX(('Списки блоков'!$D$2:$D986=B144)*(ROW('Списки блоков'!$D$2:$D986)&lt;&gt;ROW('Списки блоков'!$D$3)),0),0)),"","Декораторы,")
&amp;IF(ISERROR(MATCH(1,INDEX(('Списки блоков'!$E$2:$E986=B144)*(ROW('Списки блоков'!$E$2:$E986)&lt;&gt;ROW('Списки блоков'!$E$3)),0),0)),"","Дизайн,")
&amp;IF(ISERROR(MATCH(1,INDEX(('Списки блоков'!$F$2:$F986=B144)*(ROW('Списки блоков'!$F$2:$F986)&lt;&gt;ROW('Списки блоков'!$F$3)),0),0)),"","Досуг,")
&amp;IF(ISERROR(MATCH(1,INDEX(('Списки блоков'!$G$2:$G986=B144)*(ROW('Списки блоков'!$G$2:$G986)&lt;&gt;ROW('Списки блоков'!$G$3)),0),0)),"","Закупки,")
&amp;IF(ISERROR(MATCH(1,INDEX(('Списки блоков'!$H$2:$H986=B144)*(ROW('Списки блоков'!$H$2:$H986)&lt;&gt;ROW('Списки блоков'!$H$3)),0),0)),"","ИнфоБлок,")
&amp;IF(ISERROR(MATCH(1,INDEX(('Списки блоков'!$I$2:$I986=B144)*(ROW('Списки блоков'!$I$2:$I986)&lt;&gt;ROW('Списки блоков'!$I$3)),0),0)),"","КГ,")
&amp;IF(ISERROR(MATCH(1,INDEX(('Списки блоков'!$J$2:$J986=B144)*(ROW('Списки блоков'!$J$2:$J986)&lt;&gt;ROW('Списки блоков'!$J$3)),0),0)),"","МП,")
&amp;IF(ISERROR(MATCH(1,INDEX(('Списки блоков'!$K$2:$K986=B144)*(ROW('Списки блоков'!$K$2:$K986)&lt;&gt;ROW('Списки блоков'!$K$3)),0),0)),"","Профорги,")
&amp;IF(ISERROR(MATCH(1,INDEX(('Списки блоков'!$L$2:$L986=B144)*(ROW('Списки блоков'!$L$2:$L986)&lt;&gt;ROW('Списки блоков'!$L$3)),0),0)),"","Спонсоры,")
&amp;IF(ISERROR(MATCH(1,INDEX(('Списки блоков'!$M$2:$M986=B144)*(ROW('Списки блоков'!$M$2:$M986)&lt;&gt;ROW('Списки блоков'!$M$3)),0),0)),"","Склад,")
&amp;IF(ISERROR(MATCH(1,INDEX(('Списки блоков'!$N$2:$N986=B144)*(ROW('Списки блоков'!$N$2:$N986)&lt;&gt;ROW('Списки блоков'!$N$3)),0),0)),"","Сценаристы,")
&amp;IF(ISERROR(MATCH(1,INDEX(('Списки блоков'!$O$2:$O986=B144)*(ROW('Списки блоков'!$O$2:$O986)&lt;&gt;ROW('Списки блоков'!$O$3)),0),0)),"","Техники,")
&amp;IF(ISERROR(MATCH(1,INDEX(('Списки блоков'!$P$2:$P986=B144)*(ROW('Списки блоков'!$P$2:$P986)&lt;&gt;ROW('Списки блоков'!$P$3)),0),0)),"","УРС,")
&amp;IF(ISERROR(MATCH(1,INDEX(('Списки блоков'!$Q$2:$Q986=B144)*(ROW('Списки блоков'!$Q$2:$Q986)&lt;&gt;ROW('Списки блоков'!$Q$3)),0),0)),"","Фото,")
&amp;IF(ISERROR(MATCH(1,INDEX((#REF!=B144)*(ROW(#REF!)&lt;&gt;ROW(#REF!)),0),0)),"","ЭкоБлок,")
&amp;IF(ISERROR(MATCH(1,INDEX(('Списки блоков'!$R$2:$R986=B144)*(ROW('Списки блоков'!$R$2:$R986)&lt;&gt;ROW('Списки блоков'!$R$3)),0),0)),"","HR,")
&amp;IF(ISERROR(MATCH(1,INDEX(('Списки блоков'!$S$2:$S986=B144)*(ROW('Списки блоков'!$S$2:$S986)&lt;&gt;ROW('Списки блоков'!$S$3)),0),0)),"","Instagram,")
&amp;IF(ISERROR(MATCH(1,INDEX(('Списки блоков'!$T$2:$T986=B144)*(ROW('Списки блоков'!$T$2:$T986)&lt;&gt;ROW('Списки блоков'!$T$3)),0),0)),"","Zachёt,")
&amp;IF(ISERROR(MATCH(1,INDEX(('Списки блоков'!$U$2:$U986=B144)*(ROW('Списки блоков'!$U$2:$U986)&lt;&gt;ROW('Списки блоков'!$U$3)),0),0)),"","IT,")
&amp;IF(ISERROR(MATCH(1,INDEX(('Списки блоков'!$V$2:$V986=B144)*(ROW('Списки блоков'!$V$2:$V986)&lt;&gt;ROW('Списки блоков'!$V$3)),0),0)),"","ДК,")
</f>
        <v>Декораторы,Закупки,Склад,УРС,IT,</v>
      </c>
      <c r="F144" s="32">
        <v>8.9301612377E10</v>
      </c>
      <c r="G144" s="33" t="s">
        <v>699</v>
      </c>
      <c r="H144" s="30" t="s">
        <v>700</v>
      </c>
      <c r="I144" s="30" t="s">
        <v>701</v>
      </c>
      <c r="J144" s="34" t="s">
        <v>22</v>
      </c>
    </row>
    <row r="145">
      <c r="A145" s="44" t="s">
        <v>702</v>
      </c>
      <c r="B145" s="2" t="str">
        <f t="shared" si="8"/>
        <v>Чувпило Александр</v>
      </c>
      <c r="C145" s="66">
        <v>104.0</v>
      </c>
      <c r="D145" s="44" t="s">
        <v>703</v>
      </c>
      <c r="E145" s="2" t="str">
        <f t="array" ref="E145">IF(ISERROR(MATCH(1,INDEX(('Списки блоков'!$B$2:$B986=B145)*(ROW('Списки блоков'!$B$2:$B986)&lt;&gt;ROW('Списки блоков'!$B$3)),0),0)),"","БДНС,")
&amp;IF(ISERROR(MATCH(1,INDEX(('Списки блоков'!$C$2:$C986=B145)*(ROW('Списки блоков'!$C$2:$C986)&lt;&gt;ROW('Списки блоков'!$C$3)),0),0)),"","Видеолаба,")
&amp;IF(ISERROR(MATCH(1,INDEX(('Списки блоков'!$D$2:$D986=B145)*(ROW('Списки блоков'!$D$2:$D986)&lt;&gt;ROW('Списки блоков'!$D$3)),0),0)),"","Декораторы,")
&amp;IF(ISERROR(MATCH(1,INDEX(('Списки блоков'!$E$2:$E986=B145)*(ROW('Списки блоков'!$E$2:$E986)&lt;&gt;ROW('Списки блоков'!$E$3)),0),0)),"","Дизайн,")
&amp;IF(ISERROR(MATCH(1,INDEX(('Списки блоков'!$F$2:$F986=B145)*(ROW('Списки блоков'!$F$2:$F986)&lt;&gt;ROW('Списки блоков'!$F$3)),0),0)),"","Досуг,")
&amp;IF(ISERROR(MATCH(1,INDEX(('Списки блоков'!$G$2:$G986=B145)*(ROW('Списки блоков'!$G$2:$G986)&lt;&gt;ROW('Списки блоков'!$G$3)),0),0)),"","Закупки,")
&amp;IF(ISERROR(MATCH(1,INDEX(('Списки блоков'!$H$2:$H986=B145)*(ROW('Списки блоков'!$H$2:$H986)&lt;&gt;ROW('Списки блоков'!$H$3)),0),0)),"","ИнфоБлок,")
&amp;IF(ISERROR(MATCH(1,INDEX(('Списки блоков'!$I$2:$I986=B145)*(ROW('Списки блоков'!$I$2:$I986)&lt;&gt;ROW('Списки блоков'!$I$3)),0),0)),"","КГ,")
&amp;IF(ISERROR(MATCH(1,INDEX(('Списки блоков'!$J$2:$J986=B145)*(ROW('Списки блоков'!$J$2:$J986)&lt;&gt;ROW('Списки блоков'!$J$3)),0),0)),"","МП,")
&amp;IF(ISERROR(MATCH(1,INDEX(('Списки блоков'!$K$2:$K986=B145)*(ROW('Списки блоков'!$K$2:$K986)&lt;&gt;ROW('Списки блоков'!$K$3)),0),0)),"","Профорги,")
&amp;IF(ISERROR(MATCH(1,INDEX(('Списки блоков'!$L$2:$L986=B145)*(ROW('Списки блоков'!$L$2:$L986)&lt;&gt;ROW('Списки блоков'!$L$3)),0),0)),"","Спонсоры,")
&amp;IF(ISERROR(MATCH(1,INDEX(('Списки блоков'!$M$2:$M986=B145)*(ROW('Списки блоков'!$M$2:$M986)&lt;&gt;ROW('Списки блоков'!$M$3)),0),0)),"","Склад,")
&amp;IF(ISERROR(MATCH(1,INDEX(('Списки блоков'!$N$2:$N986=B145)*(ROW('Списки блоков'!$N$2:$N986)&lt;&gt;ROW('Списки блоков'!$N$3)),0),0)),"","Сценаристы,")
&amp;IF(ISERROR(MATCH(1,INDEX(('Списки блоков'!$O$2:$O986=B145)*(ROW('Списки блоков'!$O$2:$O986)&lt;&gt;ROW('Списки блоков'!$O$3)),0),0)),"","Техники,")
&amp;IF(ISERROR(MATCH(1,INDEX(('Списки блоков'!$P$2:$P986=B145)*(ROW('Списки блоков'!$P$2:$P986)&lt;&gt;ROW('Списки блоков'!$P$3)),0),0)),"","УРС,")
&amp;IF(ISERROR(MATCH(1,INDEX(('Списки блоков'!$Q$2:$Q986=B145)*(ROW('Списки блоков'!$Q$2:$Q986)&lt;&gt;ROW('Списки блоков'!$Q$3)),0),0)),"","Фото,")
&amp;IF(ISERROR(MATCH(1,INDEX((#REF!=B145)*(ROW(#REF!)&lt;&gt;ROW(#REF!)),0),0)),"","ЭкоБлок,")
&amp;IF(ISERROR(MATCH(1,INDEX(('Списки блоков'!$R$2:$R986=B145)*(ROW('Списки блоков'!$R$2:$R986)&lt;&gt;ROW('Списки блоков'!$R$3)),0),0)),"","HR,")
&amp;IF(ISERROR(MATCH(1,INDEX(('Списки блоков'!$S$2:$S986=B145)*(ROW('Списки блоков'!$S$2:$S986)&lt;&gt;ROW('Списки блоков'!$S$3)),0),0)),"","Instagram,")
&amp;IF(ISERROR(MATCH(1,INDEX(('Списки блоков'!$T$2:$T986=B145)*(ROW('Списки блоков'!$T$2:$T986)&lt;&gt;ROW('Списки блоков'!$T$3)),0),0)),"","Zachёt,")
&amp;IF(ISERROR(MATCH(1,INDEX(('Списки блоков'!$U$2:$U986=B145)*(ROW('Списки блоков'!$U$2:$U986)&lt;&gt;ROW('Списки блоков'!$U$3)),0),0)),"","IT,")
&amp;IF(ISERROR(MATCH(1,INDEX(('Списки блоков'!$V$2:$V986=B145)*(ROW('Списки блоков'!$V$2:$V986)&lt;&gt;ROW('Списки блоков'!$V$3)),0),0)),"","ДК,")
</f>
        <v>Спонсоры,IT,ДК,</v>
      </c>
      <c r="F145" s="67">
        <v>8.9817603442E10</v>
      </c>
      <c r="G145" s="49" t="s">
        <v>704</v>
      </c>
      <c r="H145" s="49" t="s">
        <v>705</v>
      </c>
      <c r="I145" s="44" t="s">
        <v>706</v>
      </c>
      <c r="J145" s="68" t="s">
        <v>22</v>
      </c>
    </row>
    <row r="146">
      <c r="A146" s="58" t="s">
        <v>707</v>
      </c>
      <c r="B146" s="2" t="str">
        <f t="shared" si="8"/>
        <v>Шагалиева Диана</v>
      </c>
      <c r="C146" s="31">
        <v>118.0</v>
      </c>
      <c r="D146" s="30" t="s">
        <v>708</v>
      </c>
      <c r="E146" s="2" t="str">
        <f t="array" ref="E146">IF(ISERROR(MATCH(1,INDEX(('Списки блоков'!$B$2:$B986=B146)*(ROW('Списки блоков'!$B$2:$B986)&lt;&gt;ROW('Списки блоков'!$B$3)),0),0)),"","БДНС,")
&amp;IF(ISERROR(MATCH(1,INDEX(('Списки блоков'!$C$2:$C986=B146)*(ROW('Списки блоков'!$C$2:$C986)&lt;&gt;ROW('Списки блоков'!$C$3)),0),0)),"","Видеолаба,")
&amp;IF(ISERROR(MATCH(1,INDEX(('Списки блоков'!$D$2:$D986=B146)*(ROW('Списки блоков'!$D$2:$D986)&lt;&gt;ROW('Списки блоков'!$D$3)),0),0)),"","Декораторы,")
&amp;IF(ISERROR(MATCH(1,INDEX(('Списки блоков'!$E$2:$E986=B146)*(ROW('Списки блоков'!$E$2:$E986)&lt;&gt;ROW('Списки блоков'!$E$3)),0),0)),"","Дизайн,")
&amp;IF(ISERROR(MATCH(1,INDEX(('Списки блоков'!$F$2:$F986=B146)*(ROW('Списки блоков'!$F$2:$F986)&lt;&gt;ROW('Списки блоков'!$F$3)),0),0)),"","Досуг,")
&amp;IF(ISERROR(MATCH(1,INDEX(('Списки блоков'!$G$2:$G986=B146)*(ROW('Списки блоков'!$G$2:$G986)&lt;&gt;ROW('Списки блоков'!$G$3)),0),0)),"","Закупки,")
&amp;IF(ISERROR(MATCH(1,INDEX(('Списки блоков'!$H$2:$H986=B146)*(ROW('Списки блоков'!$H$2:$H986)&lt;&gt;ROW('Списки блоков'!$H$3)),0),0)),"","ИнфоБлок,")
&amp;IF(ISERROR(MATCH(1,INDEX(('Списки блоков'!$I$2:$I986=B146)*(ROW('Списки блоков'!$I$2:$I986)&lt;&gt;ROW('Списки блоков'!$I$3)),0),0)),"","КГ,")
&amp;IF(ISERROR(MATCH(1,INDEX(('Списки блоков'!$J$2:$J986=B146)*(ROW('Списки блоков'!$J$2:$J986)&lt;&gt;ROW('Списки блоков'!$J$3)),0),0)),"","МП,")
&amp;IF(ISERROR(MATCH(1,INDEX(('Списки блоков'!$K$2:$K986=B146)*(ROW('Списки блоков'!$K$2:$K986)&lt;&gt;ROW('Списки блоков'!$K$3)),0),0)),"","Профорги,")
&amp;IF(ISERROR(MATCH(1,INDEX(('Списки блоков'!$L$2:$L986=B146)*(ROW('Списки блоков'!$L$2:$L986)&lt;&gt;ROW('Списки блоков'!$L$3)),0),0)),"","Спонсоры,")
&amp;IF(ISERROR(MATCH(1,INDEX(('Списки блоков'!$M$2:$M986=B146)*(ROW('Списки блоков'!$M$2:$M986)&lt;&gt;ROW('Списки блоков'!$M$3)),0),0)),"","Склад,")
&amp;IF(ISERROR(MATCH(1,INDEX(('Списки блоков'!$N$2:$N986=B146)*(ROW('Списки блоков'!$N$2:$N986)&lt;&gt;ROW('Списки блоков'!$N$3)),0),0)),"","Сценаристы,")
&amp;IF(ISERROR(MATCH(1,INDEX(('Списки блоков'!$O$2:$O986=B146)*(ROW('Списки блоков'!$O$2:$O986)&lt;&gt;ROW('Списки блоков'!$O$3)),0),0)),"","Техники,")
&amp;IF(ISERROR(MATCH(1,INDEX(('Списки блоков'!$P$2:$P986=B146)*(ROW('Списки блоков'!$P$2:$P986)&lt;&gt;ROW('Списки блоков'!$P$3)),0),0)),"","УРС,")
&amp;IF(ISERROR(MATCH(1,INDEX(('Списки блоков'!$Q$2:$Q986=B146)*(ROW('Списки блоков'!$Q$2:$Q986)&lt;&gt;ROW('Списки блоков'!$Q$3)),0),0)),"","Фото,")
&amp;IF(ISERROR(MATCH(1,INDEX((#REF!=B146)*(ROW(#REF!)&lt;&gt;ROW(#REF!)),0),0)),"","ЭкоБлок,")
&amp;IF(ISERROR(MATCH(1,INDEX(('Списки блоков'!$R$2:$R986=B146)*(ROW('Списки блоков'!$R$2:$R986)&lt;&gt;ROW('Списки блоков'!$R$3)),0),0)),"","HR,")
&amp;IF(ISERROR(MATCH(1,INDEX(('Списки блоков'!$S$2:$S986=B146)*(ROW('Списки блоков'!$S$2:$S986)&lt;&gt;ROW('Списки блоков'!$S$3)),0),0)),"","Instagram,")
&amp;IF(ISERROR(MATCH(1,INDEX(('Списки блоков'!$T$2:$T986=B146)*(ROW('Списки блоков'!$T$2:$T986)&lt;&gt;ROW('Списки блоков'!$T$3)),0),0)),"","Zachёt,")
&amp;IF(ISERROR(MATCH(1,INDEX(('Списки блоков'!$U$2:$U986=B146)*(ROW('Списки блоков'!$U$2:$U986)&lt;&gt;ROW('Списки блоков'!$U$3)),0),0)),"","IT,")
&amp;IF(ISERROR(MATCH(1,INDEX(('Списки блоков'!$V$2:$V986=B146)*(ROW('Списки блоков'!$V$2:$V986)&lt;&gt;ROW('Списки блоков'!$V$3)),0),0)),"","ДК,")
</f>
        <v>Закупки,Склад,Техники,</v>
      </c>
      <c r="F146" s="32">
        <v>8.9263900866E10</v>
      </c>
      <c r="G146" s="33" t="s">
        <v>709</v>
      </c>
      <c r="H146" s="33" t="s">
        <v>710</v>
      </c>
      <c r="I146" s="30" t="s">
        <v>711</v>
      </c>
      <c r="J146" s="34" t="s">
        <v>22</v>
      </c>
    </row>
    <row r="147">
      <c r="A147" s="22" t="s">
        <v>712</v>
      </c>
      <c r="B147" s="2" t="str">
        <f t="shared" si="8"/>
        <v>Шадже Анзор</v>
      </c>
      <c r="C147" s="21">
        <v>404.0</v>
      </c>
      <c r="D147" s="22" t="s">
        <v>40</v>
      </c>
      <c r="E147" s="2" t="str">
        <f t="array" ref="E147">IF(ISERROR(MATCH(1,INDEX(('Списки блоков'!$B$2:$B986=B147)*(ROW('Списки блоков'!$B$2:$B986)&lt;&gt;ROW('Списки блоков'!$B$3)),0),0)),"","БДНС,")
&amp;IF(ISERROR(MATCH(1,INDEX(('Списки блоков'!$C$2:$C986=B147)*(ROW('Списки блоков'!$C$2:$C986)&lt;&gt;ROW('Списки блоков'!$C$3)),0),0)),"","Видеолаба,")
&amp;IF(ISERROR(MATCH(1,INDEX(('Списки блоков'!$D$2:$D986=B147)*(ROW('Списки блоков'!$D$2:$D986)&lt;&gt;ROW('Списки блоков'!$D$3)),0),0)),"","Декораторы,")
&amp;IF(ISERROR(MATCH(1,INDEX(('Списки блоков'!$E$2:$E986=B147)*(ROW('Списки блоков'!$E$2:$E986)&lt;&gt;ROW('Списки блоков'!$E$3)),0),0)),"","Дизайн,")
&amp;IF(ISERROR(MATCH(1,INDEX(('Списки блоков'!$F$2:$F986=B147)*(ROW('Списки блоков'!$F$2:$F986)&lt;&gt;ROW('Списки блоков'!$F$3)),0),0)),"","Досуг,")
&amp;IF(ISERROR(MATCH(1,INDEX(('Списки блоков'!$G$2:$G986=B147)*(ROW('Списки блоков'!$G$2:$G986)&lt;&gt;ROW('Списки блоков'!$G$3)),0),0)),"","Закупки,")
&amp;IF(ISERROR(MATCH(1,INDEX(('Списки блоков'!$H$2:$H986=B147)*(ROW('Списки блоков'!$H$2:$H986)&lt;&gt;ROW('Списки блоков'!$H$3)),0),0)),"","ИнфоБлок,")
&amp;IF(ISERROR(MATCH(1,INDEX(('Списки блоков'!$I$2:$I986=B147)*(ROW('Списки блоков'!$I$2:$I986)&lt;&gt;ROW('Списки блоков'!$I$3)),0),0)),"","КГ,")
&amp;IF(ISERROR(MATCH(1,INDEX(('Списки блоков'!$J$2:$J986=B147)*(ROW('Списки блоков'!$J$2:$J986)&lt;&gt;ROW('Списки блоков'!$J$3)),0),0)),"","МП,")
&amp;IF(ISERROR(MATCH(1,INDEX(('Списки блоков'!$K$2:$K986=B147)*(ROW('Списки блоков'!$K$2:$K986)&lt;&gt;ROW('Списки блоков'!$K$3)),0),0)),"","Профорги,")
&amp;IF(ISERROR(MATCH(1,INDEX(('Списки блоков'!$L$2:$L986=B147)*(ROW('Списки блоков'!$L$2:$L986)&lt;&gt;ROW('Списки блоков'!$L$3)),0),0)),"","Спонсоры,")
&amp;IF(ISERROR(MATCH(1,INDEX(('Списки блоков'!$M$2:$M986=B147)*(ROW('Списки блоков'!$M$2:$M986)&lt;&gt;ROW('Списки блоков'!$M$3)),0),0)),"","Склад,")
&amp;IF(ISERROR(MATCH(1,INDEX(('Списки блоков'!$N$2:$N986=B147)*(ROW('Списки блоков'!$N$2:$N986)&lt;&gt;ROW('Списки блоков'!$N$3)),0),0)),"","Сценаристы,")
&amp;IF(ISERROR(MATCH(1,INDEX(('Списки блоков'!$O$2:$O986=B147)*(ROW('Списки блоков'!$O$2:$O986)&lt;&gt;ROW('Списки блоков'!$O$3)),0),0)),"","Техники,")
&amp;IF(ISERROR(MATCH(1,INDEX(('Списки блоков'!$P$2:$P986=B147)*(ROW('Списки блоков'!$P$2:$P986)&lt;&gt;ROW('Списки блоков'!$P$3)),0),0)),"","УРС,")
&amp;IF(ISERROR(MATCH(1,INDEX(('Списки блоков'!$Q$2:$Q986=B147)*(ROW('Списки блоков'!$Q$2:$Q986)&lt;&gt;ROW('Списки блоков'!$Q$3)),0),0)),"","Фото,")
&amp;IF(ISERROR(MATCH(1,INDEX((#REF!=B147)*(ROW(#REF!)&lt;&gt;ROW(#REF!)),0),0)),"","ЭкоБлок,")
&amp;IF(ISERROR(MATCH(1,INDEX(('Списки блоков'!$R$2:$R986=B147)*(ROW('Списки блоков'!$R$2:$R986)&lt;&gt;ROW('Списки блоков'!$R$3)),0),0)),"","HR,")
&amp;IF(ISERROR(MATCH(1,INDEX(('Списки блоков'!$S$2:$S986=B147)*(ROW('Списки блоков'!$S$2:$S986)&lt;&gt;ROW('Списки блоков'!$S$3)),0),0)),"","Instagram,")
&amp;IF(ISERROR(MATCH(1,INDEX(('Списки блоков'!$T$2:$T986=B147)*(ROW('Списки блоков'!$T$2:$T986)&lt;&gt;ROW('Списки блоков'!$T$3)),0),0)),"","Zachёt,")
&amp;IF(ISERROR(MATCH(1,INDEX(('Списки блоков'!$U$2:$U986=B147)*(ROW('Списки блоков'!$U$2:$U986)&lt;&gt;ROW('Списки блоков'!$U$3)),0),0)),"","IT,")
&amp;IF(ISERROR(MATCH(1,INDEX(('Списки блоков'!$V$2:$V986=B147)*(ROW('Списки блоков'!$V$2:$V986)&lt;&gt;ROW('Списки блоков'!$V$3)),0),0)),"","ДК,")
</f>
        <v>Декораторы,Закупки,Склад,ДК,</v>
      </c>
      <c r="F147" s="69">
        <v>8.9284660563E10</v>
      </c>
      <c r="G147" s="59" t="s">
        <v>713</v>
      </c>
      <c r="H147" s="22" t="s">
        <v>714</v>
      </c>
      <c r="I147" s="22" t="s">
        <v>715</v>
      </c>
      <c r="J147" s="24" t="s">
        <v>22</v>
      </c>
    </row>
    <row r="148">
      <c r="A148" s="30" t="s">
        <v>716</v>
      </c>
      <c r="B148" s="2" t="str">
        <f t="shared" si="8"/>
        <v>Шахназарова Хадижат</v>
      </c>
      <c r="C148" s="31">
        <v>492.0</v>
      </c>
      <c r="D148" s="30" t="s">
        <v>717</v>
      </c>
      <c r="E148" s="2" t="str">
        <f t="array" ref="E148">IF(ISERROR(MATCH(1,INDEX(('Списки блоков'!$B$2:$B986=B148)*(ROW('Списки блоков'!$B$2:$B986)&lt;&gt;ROW('Списки блоков'!$B$3)),0),0)),"","БДНС,")
&amp;IF(ISERROR(MATCH(1,INDEX(('Списки блоков'!$C$2:$C986=B148)*(ROW('Списки блоков'!$C$2:$C986)&lt;&gt;ROW('Списки блоков'!$C$3)),0),0)),"","Видеолаба,")
&amp;IF(ISERROR(MATCH(1,INDEX(('Списки блоков'!$D$2:$D986=B148)*(ROW('Списки блоков'!$D$2:$D986)&lt;&gt;ROW('Списки блоков'!$D$3)),0),0)),"","Декораторы,")
&amp;IF(ISERROR(MATCH(1,INDEX(('Списки блоков'!$E$2:$E986=B148)*(ROW('Списки блоков'!$E$2:$E986)&lt;&gt;ROW('Списки блоков'!$E$3)),0),0)),"","Дизайн,")
&amp;IF(ISERROR(MATCH(1,INDEX(('Списки блоков'!$F$2:$F986=B148)*(ROW('Списки блоков'!$F$2:$F986)&lt;&gt;ROW('Списки блоков'!$F$3)),0),0)),"","Досуг,")
&amp;IF(ISERROR(MATCH(1,INDEX(('Списки блоков'!$G$2:$G986=B148)*(ROW('Списки блоков'!$G$2:$G986)&lt;&gt;ROW('Списки блоков'!$G$3)),0),0)),"","Закупки,")
&amp;IF(ISERROR(MATCH(1,INDEX(('Списки блоков'!$H$2:$H986=B148)*(ROW('Списки блоков'!$H$2:$H986)&lt;&gt;ROW('Списки блоков'!$H$3)),0),0)),"","ИнфоБлок,")
&amp;IF(ISERROR(MATCH(1,INDEX(('Списки блоков'!$I$2:$I986=B148)*(ROW('Списки блоков'!$I$2:$I986)&lt;&gt;ROW('Списки блоков'!$I$3)),0),0)),"","КГ,")
&amp;IF(ISERROR(MATCH(1,INDEX(('Списки блоков'!$J$2:$J986=B148)*(ROW('Списки блоков'!$J$2:$J986)&lt;&gt;ROW('Списки блоков'!$J$3)),0),0)),"","МП,")
&amp;IF(ISERROR(MATCH(1,INDEX(('Списки блоков'!$K$2:$K986=B148)*(ROW('Списки блоков'!$K$2:$K986)&lt;&gt;ROW('Списки блоков'!$K$3)),0),0)),"","Профорги,")
&amp;IF(ISERROR(MATCH(1,INDEX(('Списки блоков'!$L$2:$L986=B148)*(ROW('Списки блоков'!$L$2:$L986)&lt;&gt;ROW('Списки блоков'!$L$3)),0),0)),"","Спонсоры,")
&amp;IF(ISERROR(MATCH(1,INDEX(('Списки блоков'!$M$2:$M986=B148)*(ROW('Списки блоков'!$M$2:$M986)&lt;&gt;ROW('Списки блоков'!$M$3)),0),0)),"","Склад,")
&amp;IF(ISERROR(MATCH(1,INDEX(('Списки блоков'!$N$2:$N986=B148)*(ROW('Списки блоков'!$N$2:$N986)&lt;&gt;ROW('Списки блоков'!$N$3)),0),0)),"","Сценаристы,")
&amp;IF(ISERROR(MATCH(1,INDEX(('Списки блоков'!$O$2:$O986=B148)*(ROW('Списки блоков'!$O$2:$O986)&lt;&gt;ROW('Списки блоков'!$O$3)),0),0)),"","Техники,")
&amp;IF(ISERROR(MATCH(1,INDEX(('Списки блоков'!$P$2:$P986=B148)*(ROW('Списки блоков'!$P$2:$P986)&lt;&gt;ROW('Списки блоков'!$P$3)),0),0)),"","УРС,")
&amp;IF(ISERROR(MATCH(1,INDEX(('Списки блоков'!$Q$2:$Q986=B148)*(ROW('Списки блоков'!$Q$2:$Q986)&lt;&gt;ROW('Списки блоков'!$Q$3)),0),0)),"","Фото,")
&amp;IF(ISERROR(MATCH(1,INDEX((#REF!=B148)*(ROW(#REF!)&lt;&gt;ROW(#REF!)),0),0)),"","ЭкоБлок,")
&amp;IF(ISERROR(MATCH(1,INDEX(('Списки блоков'!$R$2:$R986=B148)*(ROW('Списки блоков'!$R$2:$R986)&lt;&gt;ROW('Списки блоков'!$R$3)),0),0)),"","HR,")
&amp;IF(ISERROR(MATCH(1,INDEX(('Списки блоков'!$S$2:$S986=B148)*(ROW('Списки блоков'!$S$2:$S986)&lt;&gt;ROW('Списки блоков'!$S$3)),0),0)),"","Instagram,")
&amp;IF(ISERROR(MATCH(1,INDEX(('Списки блоков'!$T$2:$T986=B148)*(ROW('Списки блоков'!$T$2:$T986)&lt;&gt;ROW('Списки блоков'!$T$3)),0),0)),"","Zachёt,")
&amp;IF(ISERROR(MATCH(1,INDEX(('Списки блоков'!$U$2:$U986=B148)*(ROW('Списки блоков'!$U$2:$U986)&lt;&gt;ROW('Списки блоков'!$U$3)),0),0)),"","IT,")
&amp;IF(ISERROR(MATCH(1,INDEX(('Списки блоков'!$V$2:$V986=B148)*(ROW('Списки блоков'!$V$2:$V986)&lt;&gt;ROW('Списки блоков'!$V$3)),0),0)),"","ДК,")
</f>
        <v>Декораторы,УРС,</v>
      </c>
      <c r="F148" s="32">
        <v>8.9280471782E10</v>
      </c>
      <c r="G148" s="33" t="s">
        <v>718</v>
      </c>
      <c r="H148" s="30" t="s">
        <v>719</v>
      </c>
      <c r="I148" s="30" t="s">
        <v>720</v>
      </c>
      <c r="J148" s="34" t="s">
        <v>22</v>
      </c>
    </row>
    <row r="149">
      <c r="A149" s="22" t="s">
        <v>721</v>
      </c>
      <c r="B149" s="2" t="str">
        <f t="shared" si="8"/>
        <v>Шестаков Дмитрий</v>
      </c>
      <c r="C149" s="21">
        <v>109.0</v>
      </c>
      <c r="D149" s="22" t="s">
        <v>50</v>
      </c>
      <c r="E149" s="2" t="str">
        <f t="array" ref="E149">IF(ISERROR(MATCH(1,INDEX(('Списки блоков'!$B$2:$B986=B149)*(ROW('Списки блоков'!$B$2:$B986)&lt;&gt;ROW('Списки блоков'!$B$3)),0),0)),"","БДНС,")
&amp;IF(ISERROR(MATCH(1,INDEX(('Списки блоков'!$C$2:$C986=B149)*(ROW('Списки блоков'!$C$2:$C986)&lt;&gt;ROW('Списки блоков'!$C$3)),0),0)),"","Видеолаба,")
&amp;IF(ISERROR(MATCH(1,INDEX(('Списки блоков'!$D$2:$D986=B149)*(ROW('Списки блоков'!$D$2:$D986)&lt;&gt;ROW('Списки блоков'!$D$3)),0),0)),"","Декораторы,")
&amp;IF(ISERROR(MATCH(1,INDEX(('Списки блоков'!$E$2:$E986=B149)*(ROW('Списки блоков'!$E$2:$E986)&lt;&gt;ROW('Списки блоков'!$E$3)),0),0)),"","Дизайн,")
&amp;IF(ISERROR(MATCH(1,INDEX(('Списки блоков'!$F$2:$F986=B149)*(ROW('Списки блоков'!$F$2:$F986)&lt;&gt;ROW('Списки блоков'!$F$3)),0),0)),"","Досуг,")
&amp;IF(ISERROR(MATCH(1,INDEX(('Списки блоков'!$G$2:$G986=B149)*(ROW('Списки блоков'!$G$2:$G986)&lt;&gt;ROW('Списки блоков'!$G$3)),0),0)),"","Закупки,")
&amp;IF(ISERROR(MATCH(1,INDEX(('Списки блоков'!$H$2:$H986=B149)*(ROW('Списки блоков'!$H$2:$H986)&lt;&gt;ROW('Списки блоков'!$H$3)),0),0)),"","ИнфоБлок,")
&amp;IF(ISERROR(MATCH(1,INDEX(('Списки блоков'!$I$2:$I986=B149)*(ROW('Списки блоков'!$I$2:$I986)&lt;&gt;ROW('Списки блоков'!$I$3)),0),0)),"","КГ,")
&amp;IF(ISERROR(MATCH(1,INDEX(('Списки блоков'!$J$2:$J986=B149)*(ROW('Списки блоков'!$J$2:$J986)&lt;&gt;ROW('Списки блоков'!$J$3)),0),0)),"","МП,")
&amp;IF(ISERROR(MATCH(1,INDEX(('Списки блоков'!$K$2:$K986=B149)*(ROW('Списки блоков'!$K$2:$K986)&lt;&gt;ROW('Списки блоков'!$K$3)),0),0)),"","Профорги,")
&amp;IF(ISERROR(MATCH(1,INDEX(('Списки блоков'!$L$2:$L986=B149)*(ROW('Списки блоков'!$L$2:$L986)&lt;&gt;ROW('Списки блоков'!$L$3)),0),0)),"","Спонсоры,")
&amp;IF(ISERROR(MATCH(1,INDEX(('Списки блоков'!$M$2:$M986=B149)*(ROW('Списки блоков'!$M$2:$M986)&lt;&gt;ROW('Списки блоков'!$M$3)),0),0)),"","Склад,")
&amp;IF(ISERROR(MATCH(1,INDEX(('Списки блоков'!$N$2:$N986=B149)*(ROW('Списки блоков'!$N$2:$N986)&lt;&gt;ROW('Списки блоков'!$N$3)),0),0)),"","Сценаристы,")
&amp;IF(ISERROR(MATCH(1,INDEX(('Списки блоков'!$O$2:$O986=B149)*(ROW('Списки блоков'!$O$2:$O986)&lt;&gt;ROW('Списки блоков'!$O$3)),0),0)),"","Техники,")
&amp;IF(ISERROR(MATCH(1,INDEX(('Списки блоков'!$P$2:$P986=B149)*(ROW('Списки блоков'!$P$2:$P986)&lt;&gt;ROW('Списки блоков'!$P$3)),0),0)),"","УРС,")
&amp;IF(ISERROR(MATCH(1,INDEX(('Списки блоков'!$Q$2:$Q986=B149)*(ROW('Списки блоков'!$Q$2:$Q986)&lt;&gt;ROW('Списки блоков'!$Q$3)),0),0)),"","Фото,")
&amp;IF(ISERROR(MATCH(1,INDEX((#REF!=B149)*(ROW(#REF!)&lt;&gt;ROW(#REF!)),0),0)),"","ЭкоБлок,")
&amp;IF(ISERROR(MATCH(1,INDEX(('Списки блоков'!$R$2:$R986=B149)*(ROW('Списки блоков'!$R$2:$R986)&lt;&gt;ROW('Списки блоков'!$R$3)),0),0)),"","HR,")
&amp;IF(ISERROR(MATCH(1,INDEX(('Списки блоков'!$S$2:$S986=B149)*(ROW('Списки блоков'!$S$2:$S986)&lt;&gt;ROW('Списки блоков'!$S$3)),0),0)),"","Instagram,")
&amp;IF(ISERROR(MATCH(1,INDEX(('Списки блоков'!$T$2:$T986=B149)*(ROW('Списки блоков'!$T$2:$T986)&lt;&gt;ROW('Списки блоков'!$T$3)),0),0)),"","Zachёt,")
&amp;IF(ISERROR(MATCH(1,INDEX(('Списки блоков'!$U$2:$U986=B149)*(ROW('Списки блоков'!$U$2:$U986)&lt;&gt;ROW('Списки блоков'!$U$3)),0),0)),"","IT,")
&amp;IF(ISERROR(MATCH(1,INDEX(('Списки блоков'!$V$2:$V986=B149)*(ROW('Списки блоков'!$V$2:$V986)&lt;&gt;ROW('Списки блоков'!$V$3)),0),0)),"","ДК,")
</f>
        <v>ИнфоБлок,Спонсоры,Техники,</v>
      </c>
      <c r="F149" s="69">
        <v>8.9603955641E10</v>
      </c>
      <c r="G149" s="23" t="s">
        <v>722</v>
      </c>
      <c r="H149" s="22" t="s">
        <v>723</v>
      </c>
      <c r="I149" s="22" t="s">
        <v>724</v>
      </c>
      <c r="J149" s="24" t="s">
        <v>22</v>
      </c>
    </row>
    <row r="150">
      <c r="A150" s="26" t="s">
        <v>725</v>
      </c>
      <c r="B150" s="2" t="str">
        <f t="shared" si="8"/>
        <v>Щетинкин Георгий</v>
      </c>
      <c r="C150" s="25">
        <v>104.0</v>
      </c>
      <c r="D150" s="26" t="s">
        <v>726</v>
      </c>
      <c r="E150" s="2" t="str">
        <f t="array" ref="E150">IF(ISERROR(MATCH(1,INDEX(('Списки блоков'!$B$2:$B986=B150)*(ROW('Списки блоков'!$B$2:$B986)&lt;&gt;ROW('Списки блоков'!$B$3)),0),0)),"","БДНС,")
&amp;IF(ISERROR(MATCH(1,INDEX(('Списки блоков'!$C$2:$C986=B150)*(ROW('Списки блоков'!$C$2:$C986)&lt;&gt;ROW('Списки блоков'!$C$3)),0),0)),"","Видеолаба,")
&amp;IF(ISERROR(MATCH(1,INDEX(('Списки блоков'!$D$2:$D986=B150)*(ROW('Списки блоков'!$D$2:$D986)&lt;&gt;ROW('Списки блоков'!$D$3)),0),0)),"","Декораторы,")
&amp;IF(ISERROR(MATCH(1,INDEX(('Списки блоков'!$E$2:$E986=B150)*(ROW('Списки блоков'!$E$2:$E986)&lt;&gt;ROW('Списки блоков'!$E$3)),0),0)),"","Дизайн,")
&amp;IF(ISERROR(MATCH(1,INDEX(('Списки блоков'!$F$2:$F986=B150)*(ROW('Списки блоков'!$F$2:$F986)&lt;&gt;ROW('Списки блоков'!$F$3)),0),0)),"","Досуг,")
&amp;IF(ISERROR(MATCH(1,INDEX(('Списки блоков'!$G$2:$G986=B150)*(ROW('Списки блоков'!$G$2:$G986)&lt;&gt;ROW('Списки блоков'!$G$3)),0),0)),"","Закупки,")
&amp;IF(ISERROR(MATCH(1,INDEX(('Списки блоков'!$H$2:$H986=B150)*(ROW('Списки блоков'!$H$2:$H986)&lt;&gt;ROW('Списки блоков'!$H$3)),0),0)),"","ИнфоБлок,")
&amp;IF(ISERROR(MATCH(1,INDEX(('Списки блоков'!$I$2:$I986=B150)*(ROW('Списки блоков'!$I$2:$I986)&lt;&gt;ROW('Списки блоков'!$I$3)),0),0)),"","КГ,")
&amp;IF(ISERROR(MATCH(1,INDEX(('Списки блоков'!$J$2:$J986=B150)*(ROW('Списки блоков'!$J$2:$J986)&lt;&gt;ROW('Списки блоков'!$J$3)),0),0)),"","МП,")
&amp;IF(ISERROR(MATCH(1,INDEX(('Списки блоков'!$K$2:$K986=B150)*(ROW('Списки блоков'!$K$2:$K986)&lt;&gt;ROW('Списки блоков'!$K$3)),0),0)),"","Профорги,")
&amp;IF(ISERROR(MATCH(1,INDEX(('Списки блоков'!$L$2:$L986=B150)*(ROW('Списки блоков'!$L$2:$L986)&lt;&gt;ROW('Списки блоков'!$L$3)),0),0)),"","Спонсоры,")
&amp;IF(ISERROR(MATCH(1,INDEX(('Списки блоков'!$M$2:$M986=B150)*(ROW('Списки блоков'!$M$2:$M986)&lt;&gt;ROW('Списки блоков'!$M$3)),0),0)),"","Склад,")
&amp;IF(ISERROR(MATCH(1,INDEX(('Списки блоков'!$N$2:$N986=B150)*(ROW('Списки блоков'!$N$2:$N986)&lt;&gt;ROW('Списки блоков'!$N$3)),0),0)),"","Сценаристы,")
&amp;IF(ISERROR(MATCH(1,INDEX(('Списки блоков'!$O$2:$O986=B150)*(ROW('Списки блоков'!$O$2:$O986)&lt;&gt;ROW('Списки блоков'!$O$3)),0),0)),"","Техники,")
&amp;IF(ISERROR(MATCH(1,INDEX(('Списки блоков'!$P$2:$P986=B150)*(ROW('Списки блоков'!$P$2:$P986)&lt;&gt;ROW('Списки блоков'!$P$3)),0),0)),"","УРС,")
&amp;IF(ISERROR(MATCH(1,INDEX(('Списки блоков'!$Q$2:$Q986=B150)*(ROW('Списки блоков'!$Q$2:$Q986)&lt;&gt;ROW('Списки блоков'!$Q$3)),0),0)),"","Фото,")
&amp;IF(ISERROR(MATCH(1,INDEX((#REF!=B150)*(ROW(#REF!)&lt;&gt;ROW(#REF!)),0),0)),"","ЭкоБлок,")
&amp;IF(ISERROR(MATCH(1,INDEX(('Списки блоков'!$R$2:$R986=B150)*(ROW('Списки блоков'!$R$2:$R986)&lt;&gt;ROW('Списки блоков'!$R$3)),0),0)),"","HR,")
&amp;IF(ISERROR(MATCH(1,INDEX(('Списки блоков'!$S$2:$S986=B150)*(ROW('Списки блоков'!$S$2:$S986)&lt;&gt;ROW('Списки блоков'!$S$3)),0),0)),"","Instagram,")
&amp;IF(ISERROR(MATCH(1,INDEX(('Списки блоков'!$T$2:$T986=B150)*(ROW('Списки блоков'!$T$2:$T986)&lt;&gt;ROW('Списки блоков'!$T$3)),0),0)),"","Zachёt,")
&amp;IF(ISERROR(MATCH(1,INDEX(('Списки блоков'!$U$2:$U986=B150)*(ROW('Списки блоков'!$U$2:$U986)&lt;&gt;ROW('Списки блоков'!$U$3)),0),0)),"","IT,")
&amp;IF(ISERROR(MATCH(1,INDEX(('Списки блоков'!$V$2:$V986=B150)*(ROW('Списки блоков'!$V$2:$V986)&lt;&gt;ROW('Списки блоков'!$V$3)),0),0)),"","ДК,")
</f>
        <v>ДК,</v>
      </c>
      <c r="F150" s="27">
        <v>8.9801574575E10</v>
      </c>
      <c r="G150" s="28" t="s">
        <v>727</v>
      </c>
      <c r="H150" s="26" t="s">
        <v>728</v>
      </c>
      <c r="I150" s="26" t="s">
        <v>729</v>
      </c>
      <c r="J150" s="29" t="s">
        <v>22</v>
      </c>
    </row>
    <row r="151">
      <c r="A151" s="59" t="s">
        <v>730</v>
      </c>
      <c r="B151" s="2" t="str">
        <f t="shared" si="8"/>
        <v>Юлов Павел</v>
      </c>
      <c r="C151" s="21">
        <v>107.0</v>
      </c>
      <c r="D151" s="22" t="s">
        <v>731</v>
      </c>
      <c r="E151" s="2" t="str">
        <f t="array" ref="E151">IF(ISERROR(MATCH(1,INDEX(('Списки блоков'!$B$2:$B986=B151)*(ROW('Списки блоков'!$B$2:$B986)&lt;&gt;ROW('Списки блоков'!$B$3)),0),0)),"","БДНС,")
&amp;IF(ISERROR(MATCH(1,INDEX(('Списки блоков'!$C$2:$C986=B151)*(ROW('Списки блоков'!$C$2:$C986)&lt;&gt;ROW('Списки блоков'!$C$3)),0),0)),"","Видеолаба,")
&amp;IF(ISERROR(MATCH(1,INDEX(('Списки блоков'!$D$2:$D986=B151)*(ROW('Списки блоков'!$D$2:$D986)&lt;&gt;ROW('Списки блоков'!$D$3)),0),0)),"","Декораторы,")
&amp;IF(ISERROR(MATCH(1,INDEX(('Списки блоков'!$E$2:$E986=B151)*(ROW('Списки блоков'!$E$2:$E986)&lt;&gt;ROW('Списки блоков'!$E$3)),0),0)),"","Дизайн,")
&amp;IF(ISERROR(MATCH(1,INDEX(('Списки блоков'!$F$2:$F986=B151)*(ROW('Списки блоков'!$F$2:$F986)&lt;&gt;ROW('Списки блоков'!$F$3)),0),0)),"","Досуг,")
&amp;IF(ISERROR(MATCH(1,INDEX(('Списки блоков'!$G$2:$G986=B151)*(ROW('Списки блоков'!$G$2:$G986)&lt;&gt;ROW('Списки блоков'!$G$3)),0),0)),"","Закупки,")
&amp;IF(ISERROR(MATCH(1,INDEX(('Списки блоков'!$H$2:$H986=B151)*(ROW('Списки блоков'!$H$2:$H986)&lt;&gt;ROW('Списки блоков'!$H$3)),0),0)),"","ИнфоБлок,")
&amp;IF(ISERROR(MATCH(1,INDEX(('Списки блоков'!$I$2:$I986=B151)*(ROW('Списки блоков'!$I$2:$I986)&lt;&gt;ROW('Списки блоков'!$I$3)),0),0)),"","КГ,")
&amp;IF(ISERROR(MATCH(1,INDEX(('Списки блоков'!$J$2:$J986=B151)*(ROW('Списки блоков'!$J$2:$J986)&lt;&gt;ROW('Списки блоков'!$J$3)),0),0)),"","МП,")
&amp;IF(ISERROR(MATCH(1,INDEX(('Списки блоков'!$K$2:$K986=B151)*(ROW('Списки блоков'!$K$2:$K986)&lt;&gt;ROW('Списки блоков'!$K$3)),0),0)),"","Профорги,")
&amp;IF(ISERROR(MATCH(1,INDEX(('Списки блоков'!$L$2:$L986=B151)*(ROW('Списки блоков'!$L$2:$L986)&lt;&gt;ROW('Списки блоков'!$L$3)),0),0)),"","Спонсоры,")
&amp;IF(ISERROR(MATCH(1,INDEX(('Списки блоков'!$M$2:$M986=B151)*(ROW('Списки блоков'!$M$2:$M986)&lt;&gt;ROW('Списки блоков'!$M$3)),0),0)),"","Склад,")
&amp;IF(ISERROR(MATCH(1,INDEX(('Списки блоков'!$N$2:$N986=B151)*(ROW('Списки блоков'!$N$2:$N986)&lt;&gt;ROW('Списки блоков'!$N$3)),0),0)),"","Сценаристы,")
&amp;IF(ISERROR(MATCH(1,INDEX(('Списки блоков'!$O$2:$O986=B151)*(ROW('Списки блоков'!$O$2:$O986)&lt;&gt;ROW('Списки блоков'!$O$3)),0),0)),"","Техники,")
&amp;IF(ISERROR(MATCH(1,INDEX(('Списки блоков'!$P$2:$P986=B151)*(ROW('Списки блоков'!$P$2:$P986)&lt;&gt;ROW('Списки блоков'!$P$3)),0),0)),"","УРС,")
&amp;IF(ISERROR(MATCH(1,INDEX(('Списки блоков'!$Q$2:$Q986=B151)*(ROW('Списки блоков'!$Q$2:$Q986)&lt;&gt;ROW('Списки блоков'!$Q$3)),0),0)),"","Фото,")
&amp;IF(ISERROR(MATCH(1,INDEX((#REF!=B151)*(ROW(#REF!)&lt;&gt;ROW(#REF!)),0),0)),"","ЭкоБлок,")
&amp;IF(ISERROR(MATCH(1,INDEX(('Списки блоков'!$R$2:$R986=B151)*(ROW('Списки блоков'!$R$2:$R986)&lt;&gt;ROW('Списки блоков'!$R$3)),0),0)),"","HR,")
&amp;IF(ISERROR(MATCH(1,INDEX(('Списки блоков'!$S$2:$S986=B151)*(ROW('Списки блоков'!$S$2:$S986)&lt;&gt;ROW('Списки блоков'!$S$3)),0),0)),"","Instagram,")
&amp;IF(ISERROR(MATCH(1,INDEX(('Списки блоков'!$T$2:$T986=B151)*(ROW('Списки блоков'!$T$2:$T986)&lt;&gt;ROW('Списки блоков'!$T$3)),0),0)),"","Zachёt,")
&amp;IF(ISERROR(MATCH(1,INDEX(('Списки блоков'!$U$2:$U986=B151)*(ROW('Списки блоков'!$U$2:$U986)&lt;&gt;ROW('Списки блоков'!$U$3)),0),0)),"","IT,")
&amp;IF(ISERROR(MATCH(1,INDEX(('Списки блоков'!$V$2:$V986=B151)*(ROW('Списки блоков'!$V$2:$V986)&lt;&gt;ROW('Списки блоков'!$V$3)),0),0)),"","ДК,")
</f>
        <v>Декораторы,Техники,IT,</v>
      </c>
      <c r="F151" s="65">
        <v>8.9963330218E10</v>
      </c>
      <c r="G151" s="23" t="s">
        <v>732</v>
      </c>
      <c r="H151" s="23" t="s">
        <v>733</v>
      </c>
      <c r="I151" s="22" t="s">
        <v>734</v>
      </c>
      <c r="J151" s="24" t="s">
        <v>22</v>
      </c>
    </row>
    <row r="152">
      <c r="A152" s="70" t="s">
        <v>735</v>
      </c>
      <c r="B152" s="2" t="str">
        <f t="shared" si="8"/>
        <v>Ярыжева Лариса</v>
      </c>
      <c r="C152" s="71">
        <v>414.0</v>
      </c>
      <c r="D152" s="72" t="s">
        <v>736</v>
      </c>
      <c r="E152" s="2" t="str">
        <f t="array" ref="E152">IF(ISERROR(MATCH(1,INDEX(('Списки блоков'!$B$2:$B986=B152)*(ROW('Списки блоков'!$B$2:$B986)&lt;&gt;ROW('Списки блоков'!$B$3)),0),0)),"","БДНС,")
&amp;IF(ISERROR(MATCH(1,INDEX(('Списки блоков'!$C$2:$C986=B152)*(ROW('Списки блоков'!$C$2:$C986)&lt;&gt;ROW('Списки блоков'!$C$3)),0),0)),"","Видеолаба,")
&amp;IF(ISERROR(MATCH(1,INDEX(('Списки блоков'!$D$2:$D986=B152)*(ROW('Списки блоков'!$D$2:$D986)&lt;&gt;ROW('Списки блоков'!$D$3)),0),0)),"","Декораторы,")
&amp;IF(ISERROR(MATCH(1,INDEX(('Списки блоков'!$E$2:$E986=B152)*(ROW('Списки блоков'!$E$2:$E986)&lt;&gt;ROW('Списки блоков'!$E$3)),0),0)),"","Дизайн,")
&amp;IF(ISERROR(MATCH(1,INDEX(('Списки блоков'!$F$2:$F986=B152)*(ROW('Списки блоков'!$F$2:$F986)&lt;&gt;ROW('Списки блоков'!$F$3)),0),0)),"","Досуг,")
&amp;IF(ISERROR(MATCH(1,INDEX(('Списки блоков'!$G$2:$G986=B152)*(ROW('Списки блоков'!$G$2:$G986)&lt;&gt;ROW('Списки блоков'!$G$3)),0),0)),"","Закупки,")
&amp;IF(ISERROR(MATCH(1,INDEX(('Списки блоков'!$H$2:$H986=B152)*(ROW('Списки блоков'!$H$2:$H986)&lt;&gt;ROW('Списки блоков'!$H$3)),0),0)),"","ИнфоБлок,")
&amp;IF(ISERROR(MATCH(1,INDEX(('Списки блоков'!$I$2:$I986=B152)*(ROW('Списки блоков'!$I$2:$I986)&lt;&gt;ROW('Списки блоков'!$I$3)),0),0)),"","КГ,")
&amp;IF(ISERROR(MATCH(1,INDEX(('Списки блоков'!$J$2:$J986=B152)*(ROW('Списки блоков'!$J$2:$J986)&lt;&gt;ROW('Списки блоков'!$J$3)),0),0)),"","МП,")
&amp;IF(ISERROR(MATCH(1,INDEX(('Списки блоков'!$K$2:$K986=B152)*(ROW('Списки блоков'!$K$2:$K986)&lt;&gt;ROW('Списки блоков'!$K$3)),0),0)),"","Профорги,")
&amp;IF(ISERROR(MATCH(1,INDEX(('Списки блоков'!$L$2:$L986=B152)*(ROW('Списки блоков'!$L$2:$L986)&lt;&gt;ROW('Списки блоков'!$L$3)),0),0)),"","Спонсоры,")
&amp;IF(ISERROR(MATCH(1,INDEX(('Списки блоков'!$M$2:$M986=B152)*(ROW('Списки блоков'!$M$2:$M986)&lt;&gt;ROW('Списки блоков'!$M$3)),0),0)),"","Склад,")
&amp;IF(ISERROR(MATCH(1,INDEX(('Списки блоков'!$N$2:$N986=B152)*(ROW('Списки блоков'!$N$2:$N986)&lt;&gt;ROW('Списки блоков'!$N$3)),0),0)),"","Сценаристы,")
&amp;IF(ISERROR(MATCH(1,INDEX(('Списки блоков'!$O$2:$O986=B152)*(ROW('Списки блоков'!$O$2:$O986)&lt;&gt;ROW('Списки блоков'!$O$3)),0),0)),"","Техники,")
&amp;IF(ISERROR(MATCH(1,INDEX(('Списки блоков'!$P$2:$P986=B152)*(ROW('Списки блоков'!$P$2:$P986)&lt;&gt;ROW('Списки блоков'!$P$3)),0),0)),"","УРС,")
&amp;IF(ISERROR(MATCH(1,INDEX(('Списки блоков'!$Q$2:$Q986=B152)*(ROW('Списки блоков'!$Q$2:$Q986)&lt;&gt;ROW('Списки блоков'!$Q$3)),0),0)),"","Фото,")
&amp;IF(ISERROR(MATCH(1,INDEX((#REF!=B152)*(ROW(#REF!)&lt;&gt;ROW(#REF!)),0),0)),"","ЭкоБлок,")
&amp;IF(ISERROR(MATCH(1,INDEX(('Списки блоков'!$R$2:$R986=B152)*(ROW('Списки блоков'!$R$2:$R986)&lt;&gt;ROW('Списки блоков'!$R$3)),0),0)),"","HR,")
&amp;IF(ISERROR(MATCH(1,INDEX(('Списки блоков'!$S$2:$S986=B152)*(ROW('Списки блоков'!$S$2:$S986)&lt;&gt;ROW('Списки блоков'!$S$3)),0),0)),"","Instagram,")
&amp;IF(ISERROR(MATCH(1,INDEX(('Списки блоков'!$T$2:$T986=B152)*(ROW('Списки блоков'!$T$2:$T986)&lt;&gt;ROW('Списки блоков'!$T$3)),0),0)),"","Zachёt,")
&amp;IF(ISERROR(MATCH(1,INDEX(('Списки блоков'!$U$2:$U986=B152)*(ROW('Списки блоков'!$U$2:$U986)&lt;&gt;ROW('Списки блоков'!$U$3)),0),0)),"","IT,")
&amp;IF(ISERROR(MATCH(1,INDEX(('Списки блоков'!$V$2:$V986=B152)*(ROW('Списки блоков'!$V$2:$V986)&lt;&gt;ROW('Списки блоков'!$V$3)),0),0)),"","ДК,")
</f>
        <v>Дизайн,Спонсоры,</v>
      </c>
      <c r="F152" s="73">
        <v>8.9250790778E10</v>
      </c>
      <c r="G152" s="72" t="s">
        <v>737</v>
      </c>
      <c r="H152" s="72" t="s">
        <v>738</v>
      </c>
      <c r="I152" s="72" t="s">
        <v>739</v>
      </c>
      <c r="J152" s="74" t="s">
        <v>22</v>
      </c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</sheetData>
  <hyperlinks>
    <hyperlink r:id="rId1" ref="G2"/>
    <hyperlink r:id="rId2" ref="H2"/>
    <hyperlink r:id="rId3" ref="G3"/>
    <hyperlink r:id="rId4" ref="G4"/>
    <hyperlink r:id="rId5" ref="H4"/>
    <hyperlink r:id="rId6" ref="G5"/>
    <hyperlink r:id="rId7" ref="H5"/>
    <hyperlink r:id="rId8" ref="G6"/>
    <hyperlink r:id="rId9" ref="G7"/>
    <hyperlink r:id="rId10" ref="H7"/>
    <hyperlink r:id="rId11" ref="G8"/>
    <hyperlink r:id="rId12" ref="G9"/>
    <hyperlink r:id="rId13" ref="H9"/>
    <hyperlink r:id="rId14" ref="G10"/>
    <hyperlink r:id="rId15" ref="G11"/>
    <hyperlink r:id="rId16" ref="H11"/>
    <hyperlink r:id="rId17" ref="G12"/>
    <hyperlink r:id="rId18" ref="H12"/>
    <hyperlink r:id="rId19" ref="G13"/>
    <hyperlink r:id="rId20" ref="H13"/>
    <hyperlink r:id="rId21" ref="G14"/>
    <hyperlink r:id="rId22" ref="G15"/>
    <hyperlink r:id="rId23" ref="H15"/>
    <hyperlink r:id="rId24" ref="G16"/>
    <hyperlink r:id="rId25" ref="G17"/>
    <hyperlink r:id="rId26" ref="H17"/>
    <hyperlink r:id="rId27" ref="G18"/>
    <hyperlink r:id="rId28" ref="G19"/>
    <hyperlink r:id="rId29" ref="G20"/>
    <hyperlink r:id="rId30" ref="G21"/>
    <hyperlink r:id="rId31" ref="H21"/>
    <hyperlink r:id="rId32" ref="G23"/>
    <hyperlink r:id="rId33" ref="H23"/>
    <hyperlink r:id="rId34" ref="G24"/>
    <hyperlink r:id="rId35" ref="G25"/>
    <hyperlink r:id="rId36" ref="G26"/>
    <hyperlink r:id="rId37" ref="G28"/>
    <hyperlink r:id="rId38" ref="G29"/>
    <hyperlink r:id="rId39" ref="G30"/>
    <hyperlink r:id="rId40" ref="G32"/>
    <hyperlink r:id="rId41" ref="H32"/>
    <hyperlink r:id="rId42" ref="G33"/>
    <hyperlink r:id="rId43" ref="G34"/>
    <hyperlink r:id="rId44" ref="H34"/>
    <hyperlink r:id="rId45" ref="G35"/>
    <hyperlink r:id="rId46" ref="G36"/>
    <hyperlink r:id="rId47" ref="G38"/>
    <hyperlink r:id="rId48" ref="G39"/>
    <hyperlink r:id="rId49" ref="G40"/>
    <hyperlink r:id="rId50" ref="H40"/>
    <hyperlink r:id="rId51" ref="G41"/>
    <hyperlink r:id="rId52" ref="H41"/>
    <hyperlink r:id="rId53" ref="G42"/>
    <hyperlink r:id="rId54" ref="G43"/>
    <hyperlink r:id="rId55" ref="G44"/>
    <hyperlink r:id="rId56" ref="H44"/>
    <hyperlink r:id="rId57" ref="G45"/>
    <hyperlink r:id="rId58" ref="G46"/>
    <hyperlink r:id="rId59" ref="G47"/>
    <hyperlink r:id="rId60" ref="H47"/>
    <hyperlink r:id="rId61" ref="G48"/>
    <hyperlink r:id="rId62" ref="H48"/>
    <hyperlink r:id="rId63" ref="G49"/>
    <hyperlink r:id="rId64" ref="G50"/>
    <hyperlink r:id="rId65" ref="G51"/>
    <hyperlink r:id="rId66" ref="G52"/>
    <hyperlink r:id="rId67" ref="G53"/>
    <hyperlink r:id="rId68" ref="G54"/>
    <hyperlink r:id="rId69" ref="G55"/>
    <hyperlink r:id="rId70" ref="H55"/>
    <hyperlink r:id="rId71" ref="G56"/>
    <hyperlink r:id="rId72" ref="H56"/>
    <hyperlink r:id="rId73" ref="G57"/>
    <hyperlink r:id="rId74" ref="H57"/>
    <hyperlink r:id="rId75" ref="G58"/>
    <hyperlink r:id="rId76" ref="G59"/>
    <hyperlink r:id="rId77" ref="G60"/>
    <hyperlink r:id="rId78" ref="H60"/>
    <hyperlink r:id="rId79" ref="G61"/>
    <hyperlink r:id="rId80" ref="G62"/>
    <hyperlink r:id="rId81" ref="G64"/>
    <hyperlink r:id="rId82" ref="H64"/>
    <hyperlink r:id="rId83" ref="G65"/>
    <hyperlink r:id="rId84" ref="H65"/>
    <hyperlink r:id="rId85" ref="G66"/>
    <hyperlink r:id="rId86" ref="H66"/>
    <hyperlink r:id="rId87" ref="G67"/>
    <hyperlink r:id="rId88" ref="H67"/>
    <hyperlink r:id="rId89" ref="G68"/>
    <hyperlink r:id="rId90" ref="G69"/>
    <hyperlink r:id="rId91" ref="H69"/>
    <hyperlink r:id="rId92" ref="G70"/>
    <hyperlink r:id="rId93" ref="H70"/>
    <hyperlink r:id="rId94" ref="G71"/>
    <hyperlink r:id="rId95" ref="G73"/>
    <hyperlink r:id="rId96" ref="G74"/>
    <hyperlink r:id="rId97" ref="H74"/>
    <hyperlink r:id="rId98" ref="G75"/>
    <hyperlink r:id="rId99" ref="G76"/>
    <hyperlink r:id="rId100" ref="G77"/>
    <hyperlink r:id="rId101" ref="H77"/>
    <hyperlink r:id="rId102" ref="G78"/>
    <hyperlink r:id="rId103" ref="G79"/>
    <hyperlink r:id="rId104" ref="H79"/>
    <hyperlink r:id="rId105" ref="G80"/>
    <hyperlink r:id="rId106" ref="G81"/>
    <hyperlink r:id="rId107" ref="G82"/>
    <hyperlink r:id="rId108" ref="H82"/>
    <hyperlink r:id="rId109" ref="G83"/>
    <hyperlink r:id="rId110" ref="H83"/>
    <hyperlink r:id="rId111" ref="G84"/>
    <hyperlink r:id="rId112" ref="G85"/>
    <hyperlink r:id="rId113" ref="H85"/>
    <hyperlink r:id="rId114" ref="G86"/>
    <hyperlink r:id="rId115" ref="G87"/>
    <hyperlink r:id="rId116" ref="G88"/>
    <hyperlink r:id="rId117" ref="G90"/>
    <hyperlink r:id="rId118" ref="H90"/>
    <hyperlink r:id="rId119" ref="G91"/>
    <hyperlink r:id="rId120" ref="G92"/>
    <hyperlink r:id="rId121" ref="H92"/>
    <hyperlink r:id="rId122" ref="G93"/>
    <hyperlink r:id="rId123" ref="G94"/>
    <hyperlink r:id="rId124" ref="H94"/>
    <hyperlink r:id="rId125" ref="G96"/>
    <hyperlink r:id="rId126" ref="H96"/>
    <hyperlink r:id="rId127" ref="G97"/>
    <hyperlink r:id="rId128" ref="G99"/>
    <hyperlink r:id="rId129" ref="H99"/>
    <hyperlink r:id="rId130" ref="G100"/>
    <hyperlink r:id="rId131" ref="G101"/>
    <hyperlink r:id="rId132" ref="G102"/>
    <hyperlink r:id="rId133" ref="G103"/>
    <hyperlink r:id="rId134" ref="H103"/>
    <hyperlink r:id="rId135" ref="G104"/>
    <hyperlink r:id="rId136" ref="H104"/>
    <hyperlink r:id="rId137" ref="G105"/>
    <hyperlink r:id="rId138" ref="H105"/>
    <hyperlink r:id="rId139" ref="G107"/>
    <hyperlink r:id="rId140" ref="G109"/>
    <hyperlink r:id="rId141" ref="H109"/>
    <hyperlink r:id="rId142" ref="G111"/>
    <hyperlink r:id="rId143" ref="G114"/>
    <hyperlink r:id="rId144" ref="H114"/>
    <hyperlink r:id="rId145" ref="G115"/>
    <hyperlink r:id="rId146" ref="G116"/>
    <hyperlink r:id="rId147" ref="G117"/>
    <hyperlink r:id="rId148" ref="G118"/>
    <hyperlink r:id="rId149" ref="H118"/>
    <hyperlink r:id="rId150" ref="G120"/>
    <hyperlink r:id="rId151" ref="G121"/>
    <hyperlink r:id="rId152" ref="G122"/>
    <hyperlink r:id="rId153" ref="G123"/>
    <hyperlink r:id="rId154" ref="H123"/>
    <hyperlink r:id="rId155" ref="G124"/>
    <hyperlink r:id="rId156" ref="G125"/>
    <hyperlink r:id="rId157" ref="G126"/>
    <hyperlink r:id="rId158" ref="G129"/>
    <hyperlink r:id="rId159" ref="H129"/>
    <hyperlink r:id="rId160" ref="G130"/>
    <hyperlink r:id="rId161" ref="H130"/>
    <hyperlink r:id="rId162" ref="G131"/>
    <hyperlink r:id="rId163" ref="H131"/>
    <hyperlink r:id="rId164" ref="G132"/>
    <hyperlink r:id="rId165" ref="G133"/>
    <hyperlink r:id="rId166" ref="H133"/>
    <hyperlink r:id="rId167" ref="G134"/>
    <hyperlink r:id="rId168" ref="H134"/>
    <hyperlink r:id="rId169" ref="G135"/>
    <hyperlink r:id="rId170" ref="G136"/>
    <hyperlink r:id="rId171" ref="G137"/>
    <hyperlink r:id="rId172" ref="H137"/>
    <hyperlink r:id="rId173" ref="G138"/>
    <hyperlink r:id="rId174" ref="G139"/>
    <hyperlink r:id="rId175" ref="F141"/>
    <hyperlink r:id="rId176" ref="G141"/>
    <hyperlink r:id="rId177" ref="G142"/>
    <hyperlink r:id="rId178" ref="G143"/>
    <hyperlink r:id="rId179" ref="G144"/>
    <hyperlink r:id="rId180" ref="G145"/>
    <hyperlink r:id="rId181" ref="H145"/>
    <hyperlink r:id="rId182" ref="G146"/>
    <hyperlink r:id="rId183" ref="H146"/>
    <hyperlink r:id="rId184" ref="G148"/>
    <hyperlink r:id="rId185" ref="G149"/>
    <hyperlink r:id="rId186" ref="G150"/>
    <hyperlink r:id="rId187" ref="G151"/>
    <hyperlink r:id="rId188" ref="H151"/>
  </hyperlinks>
  <drawing r:id="rId189"/>
  <tableParts count="5">
    <tablePart r:id="rId195"/>
    <tablePart r:id="rId196"/>
    <tablePart r:id="rId197"/>
    <tablePart r:id="rId198"/>
    <tablePart r:id="rId19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0"/>
    <col customWidth="1" min="2" max="4" width="23.75"/>
    <col customWidth="1" min="5" max="5" width="29.75"/>
    <col customWidth="1" min="6" max="10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51">
      <c r="F51" s="75"/>
    </row>
    <row r="52">
      <c r="F52" s="75"/>
    </row>
    <row r="53">
      <c r="F53" s="75"/>
    </row>
    <row r="54">
      <c r="F54" s="75"/>
    </row>
    <row r="55">
      <c r="F55" s="75"/>
    </row>
    <row r="56">
      <c r="F56" s="75"/>
    </row>
    <row r="57">
      <c r="F57" s="75"/>
    </row>
    <row r="58">
      <c r="F58" s="75"/>
    </row>
    <row r="59">
      <c r="F59" s="75"/>
    </row>
    <row r="60">
      <c r="F60" s="75"/>
    </row>
    <row r="61">
      <c r="F61" s="75"/>
    </row>
    <row r="62">
      <c r="F62" s="75"/>
    </row>
    <row r="63">
      <c r="F63" s="75"/>
    </row>
    <row r="64">
      <c r="F64" s="75"/>
    </row>
    <row r="65">
      <c r="F65" s="75"/>
    </row>
    <row r="66">
      <c r="F66" s="75"/>
    </row>
    <row r="67">
      <c r="F67" s="75"/>
    </row>
    <row r="68">
      <c r="F68" s="75"/>
    </row>
    <row r="69">
      <c r="F69" s="75"/>
    </row>
    <row r="70">
      <c r="F70" s="75"/>
    </row>
    <row r="71">
      <c r="F71" s="75"/>
    </row>
    <row r="72">
      <c r="F72" s="75"/>
    </row>
    <row r="73">
      <c r="F73" s="75"/>
    </row>
    <row r="74">
      <c r="F74" s="75"/>
    </row>
    <row r="75">
      <c r="F75" s="75"/>
    </row>
    <row r="76">
      <c r="F76" s="75"/>
    </row>
    <row r="77">
      <c r="F77" s="75"/>
    </row>
    <row r="78">
      <c r="F78" s="75"/>
    </row>
    <row r="79">
      <c r="F79" s="75"/>
    </row>
    <row r="80">
      <c r="F80" s="75"/>
    </row>
    <row r="81">
      <c r="F81" s="75"/>
    </row>
    <row r="82">
      <c r="F82" s="75"/>
    </row>
    <row r="83">
      <c r="F83" s="75"/>
    </row>
    <row r="84">
      <c r="F84" s="75"/>
    </row>
    <row r="85">
      <c r="F85" s="75"/>
    </row>
    <row r="86">
      <c r="F86" s="75"/>
    </row>
    <row r="87">
      <c r="F87" s="75"/>
    </row>
    <row r="88">
      <c r="F88" s="75"/>
    </row>
    <row r="89">
      <c r="F89" s="75"/>
    </row>
    <row r="90">
      <c r="F90" s="75"/>
    </row>
    <row r="91">
      <c r="F91" s="75"/>
    </row>
    <row r="92">
      <c r="F92" s="75"/>
    </row>
    <row r="93">
      <c r="F93" s="75"/>
    </row>
    <row r="94">
      <c r="F94" s="75"/>
    </row>
    <row r="95">
      <c r="F95" s="75"/>
    </row>
    <row r="96">
      <c r="F96" s="75"/>
    </row>
    <row r="97">
      <c r="F97" s="75"/>
    </row>
    <row r="98">
      <c r="F98" s="75"/>
    </row>
    <row r="99">
      <c r="F99" s="75"/>
    </row>
    <row r="100">
      <c r="F100" s="75"/>
    </row>
    <row r="101">
      <c r="F101" s="75"/>
    </row>
    <row r="102">
      <c r="F102" s="75"/>
    </row>
    <row r="103">
      <c r="F103" s="75"/>
    </row>
    <row r="104">
      <c r="F104" s="75"/>
    </row>
    <row r="105">
      <c r="F105" s="75"/>
    </row>
    <row r="106">
      <c r="F106" s="75"/>
    </row>
    <row r="107">
      <c r="F107" s="75"/>
    </row>
    <row r="108">
      <c r="F108" s="75"/>
    </row>
    <row r="109">
      <c r="F109" s="75"/>
    </row>
    <row r="110">
      <c r="F110" s="75"/>
    </row>
    <row r="111">
      <c r="F111" s="75"/>
    </row>
    <row r="112">
      <c r="F112" s="75"/>
    </row>
    <row r="113">
      <c r="F113" s="75"/>
    </row>
    <row r="114">
      <c r="F114" s="75"/>
    </row>
    <row r="115">
      <c r="F115" s="75"/>
    </row>
    <row r="116">
      <c r="F116" s="75"/>
    </row>
    <row r="117">
      <c r="F117" s="75"/>
    </row>
    <row r="118">
      <c r="F118" s="75"/>
    </row>
    <row r="119">
      <c r="F119" s="75"/>
    </row>
    <row r="120">
      <c r="F120" s="75"/>
    </row>
    <row r="121">
      <c r="F121" s="75"/>
    </row>
    <row r="122">
      <c r="F122" s="75"/>
    </row>
    <row r="123">
      <c r="F123" s="75"/>
    </row>
    <row r="124">
      <c r="F124" s="75"/>
    </row>
    <row r="125">
      <c r="F125" s="75"/>
    </row>
    <row r="126">
      <c r="F126" s="75"/>
    </row>
    <row r="127">
      <c r="F127" s="75"/>
    </row>
    <row r="128">
      <c r="F128" s="75"/>
    </row>
    <row r="129">
      <c r="F129" s="75"/>
    </row>
    <row r="130">
      <c r="F130" s="75"/>
    </row>
    <row r="131">
      <c r="F131" s="75"/>
    </row>
    <row r="132">
      <c r="F132" s="75"/>
    </row>
    <row r="133">
      <c r="F133" s="75"/>
    </row>
    <row r="134">
      <c r="F134" s="75"/>
    </row>
    <row r="135">
      <c r="F135" s="75"/>
    </row>
    <row r="136">
      <c r="F136" s="75"/>
    </row>
    <row r="137">
      <c r="F137" s="75"/>
    </row>
    <row r="138">
      <c r="F138" s="75"/>
    </row>
    <row r="139">
      <c r="F139" s="75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3" width="22.63"/>
    <col customWidth="1" min="4" max="4" width="22.38"/>
    <col customWidth="1" min="5" max="5" width="21.25"/>
    <col customWidth="1" min="6" max="6" width="23.0"/>
    <col customWidth="1" min="7" max="7" width="22.0"/>
    <col customWidth="1" min="8" max="8" width="23.63"/>
    <col customWidth="1" min="9" max="9" width="23.5"/>
    <col customWidth="1" min="10" max="10" width="23.0"/>
    <col customWidth="1" min="11" max="11" width="23.5"/>
    <col customWidth="1" min="12" max="12" width="21.13"/>
    <col customWidth="1" min="13" max="13" width="23.0"/>
    <col customWidth="1" min="14" max="14" width="23.63"/>
    <col customWidth="1" min="15" max="15" width="21.13"/>
    <col customWidth="1" min="16" max="16" width="22.5"/>
    <col customWidth="1" min="17" max="17" width="21.25"/>
    <col customWidth="1" min="18" max="18" width="22.25"/>
    <col customWidth="1" min="19" max="19" width="22.0"/>
    <col customWidth="1" min="20" max="20" width="20.75"/>
    <col customWidth="1" min="21" max="21" width="21.25"/>
    <col customWidth="1" min="22" max="22" width="22.75"/>
  </cols>
  <sheetData>
    <row r="1">
      <c r="A1" s="76" t="s">
        <v>740</v>
      </c>
      <c r="B1" s="77" t="s">
        <v>741</v>
      </c>
      <c r="C1" s="78" t="s">
        <v>742</v>
      </c>
      <c r="D1" s="79" t="s">
        <v>743</v>
      </c>
      <c r="E1" s="78" t="s">
        <v>744</v>
      </c>
      <c r="F1" s="80" t="s">
        <v>745</v>
      </c>
      <c r="G1" s="78" t="s">
        <v>746</v>
      </c>
      <c r="H1" s="81" t="s">
        <v>747</v>
      </c>
      <c r="I1" s="78" t="s">
        <v>748</v>
      </c>
      <c r="J1" s="82" t="s">
        <v>749</v>
      </c>
      <c r="K1" s="78" t="s">
        <v>750</v>
      </c>
      <c r="L1" s="77" t="s">
        <v>751</v>
      </c>
      <c r="M1" s="78" t="s">
        <v>752</v>
      </c>
      <c r="N1" s="79" t="s">
        <v>753</v>
      </c>
      <c r="O1" s="78" t="s">
        <v>754</v>
      </c>
      <c r="P1" s="80" t="s">
        <v>755</v>
      </c>
      <c r="Q1" s="78" t="s">
        <v>756</v>
      </c>
      <c r="R1" s="82" t="s">
        <v>757</v>
      </c>
      <c r="S1" s="78" t="s">
        <v>758</v>
      </c>
      <c r="T1" s="77" t="s">
        <v>759</v>
      </c>
      <c r="U1" s="78" t="s">
        <v>760</v>
      </c>
      <c r="V1" s="81" t="s">
        <v>761</v>
      </c>
      <c r="W1" s="83"/>
      <c r="X1" s="83"/>
      <c r="Y1" s="83"/>
    </row>
    <row r="2">
      <c r="A2" s="76" t="s">
        <v>762</v>
      </c>
      <c r="B2" s="77" t="s">
        <v>763</v>
      </c>
      <c r="C2" s="78" t="s">
        <v>764</v>
      </c>
      <c r="D2" s="79" t="s">
        <v>765</v>
      </c>
      <c r="E2" s="78" t="s">
        <v>766</v>
      </c>
      <c r="F2" s="80" t="s">
        <v>767</v>
      </c>
      <c r="G2" s="78" t="s">
        <v>768</v>
      </c>
      <c r="H2" s="81" t="s">
        <v>769</v>
      </c>
      <c r="I2" s="78" t="s">
        <v>770</v>
      </c>
      <c r="J2" s="82" t="s">
        <v>771</v>
      </c>
      <c r="K2" s="78" t="s">
        <v>772</v>
      </c>
      <c r="L2" s="77" t="s">
        <v>773</v>
      </c>
      <c r="M2" s="78" t="s">
        <v>774</v>
      </c>
      <c r="N2" s="79" t="s">
        <v>775</v>
      </c>
      <c r="O2" s="78" t="s">
        <v>776</v>
      </c>
      <c r="P2" s="80" t="s">
        <v>17</v>
      </c>
      <c r="Q2" s="78" t="s">
        <v>777</v>
      </c>
      <c r="R2" s="82" t="s">
        <v>778</v>
      </c>
      <c r="S2" s="78" t="s">
        <v>779</v>
      </c>
      <c r="T2" s="77" t="s">
        <v>780</v>
      </c>
      <c r="U2" s="78" t="s">
        <v>781</v>
      </c>
      <c r="V2" s="81" t="s">
        <v>782</v>
      </c>
      <c r="W2" s="83"/>
      <c r="X2" s="83"/>
      <c r="Y2" s="83"/>
    </row>
    <row r="3">
      <c r="A3" s="84" t="s">
        <v>757</v>
      </c>
      <c r="B3" s="85" t="s">
        <v>783</v>
      </c>
      <c r="C3" s="86" t="s">
        <v>770</v>
      </c>
      <c r="D3" s="87" t="s">
        <v>784</v>
      </c>
      <c r="E3" s="86" t="s">
        <v>785</v>
      </c>
      <c r="F3" s="88" t="s">
        <v>786</v>
      </c>
      <c r="G3" s="86" t="s">
        <v>765</v>
      </c>
      <c r="H3" s="89" t="s">
        <v>787</v>
      </c>
      <c r="I3" s="86" t="s">
        <v>788</v>
      </c>
      <c r="J3" s="90" t="s">
        <v>789</v>
      </c>
      <c r="K3" s="86" t="s">
        <v>17</v>
      </c>
      <c r="L3" s="85" t="s">
        <v>783</v>
      </c>
      <c r="M3" s="86" t="s">
        <v>787</v>
      </c>
      <c r="N3" s="87" t="s">
        <v>784</v>
      </c>
      <c r="O3" s="86" t="s">
        <v>790</v>
      </c>
      <c r="P3" s="88" t="s">
        <v>770</v>
      </c>
      <c r="Q3" s="86" t="s">
        <v>765</v>
      </c>
      <c r="R3" s="90" t="s">
        <v>791</v>
      </c>
      <c r="S3" s="91" t="s">
        <v>788</v>
      </c>
      <c r="T3" s="85" t="s">
        <v>17</v>
      </c>
      <c r="U3" s="91" t="s">
        <v>789</v>
      </c>
      <c r="V3" s="89" t="s">
        <v>790</v>
      </c>
      <c r="W3" s="83"/>
      <c r="X3" s="83"/>
      <c r="Y3" s="83"/>
    </row>
    <row r="4">
      <c r="A4" s="92" t="s">
        <v>792</v>
      </c>
      <c r="B4" s="93" t="s">
        <v>793</v>
      </c>
      <c r="C4" s="94" t="s">
        <v>790</v>
      </c>
      <c r="D4" s="95" t="s">
        <v>790</v>
      </c>
      <c r="E4" s="96" t="s">
        <v>794</v>
      </c>
      <c r="F4" s="97" t="s">
        <v>775</v>
      </c>
      <c r="G4" s="94" t="s">
        <v>783</v>
      </c>
      <c r="H4" s="98" t="s">
        <v>795</v>
      </c>
      <c r="I4" s="99" t="s">
        <v>796</v>
      </c>
      <c r="J4" s="100" t="s">
        <v>797</v>
      </c>
      <c r="K4" s="99" t="s">
        <v>769</v>
      </c>
      <c r="L4" s="101" t="s">
        <v>798</v>
      </c>
      <c r="M4" s="94" t="s">
        <v>799</v>
      </c>
      <c r="N4" s="95" t="s">
        <v>800</v>
      </c>
      <c r="O4" s="99" t="s">
        <v>774</v>
      </c>
      <c r="P4" s="94" t="s">
        <v>801</v>
      </c>
      <c r="Q4" s="94" t="s">
        <v>776</v>
      </c>
      <c r="R4" s="100" t="s">
        <v>780</v>
      </c>
      <c r="S4" s="99" t="s">
        <v>802</v>
      </c>
      <c r="T4" s="101" t="s">
        <v>803</v>
      </c>
      <c r="U4" s="102" t="s">
        <v>804</v>
      </c>
      <c r="V4" s="103" t="s">
        <v>17</v>
      </c>
      <c r="W4" s="83"/>
      <c r="X4" s="83"/>
      <c r="Y4" s="83"/>
    </row>
    <row r="5">
      <c r="A5" s="104"/>
      <c r="B5" s="93" t="s">
        <v>805</v>
      </c>
      <c r="C5" s="99" t="s">
        <v>806</v>
      </c>
      <c r="D5" s="95" t="s">
        <v>763</v>
      </c>
      <c r="E5" s="99" t="s">
        <v>17</v>
      </c>
      <c r="F5" s="97" t="s">
        <v>807</v>
      </c>
      <c r="G5" s="99" t="s">
        <v>782</v>
      </c>
      <c r="H5" s="98" t="s">
        <v>808</v>
      </c>
      <c r="I5" s="99" t="s">
        <v>809</v>
      </c>
      <c r="J5" s="100" t="s">
        <v>810</v>
      </c>
      <c r="K5" s="99" t="s">
        <v>802</v>
      </c>
      <c r="L5" s="101" t="s">
        <v>811</v>
      </c>
      <c r="M5" s="99" t="s">
        <v>17</v>
      </c>
      <c r="N5" s="95" t="s">
        <v>812</v>
      </c>
      <c r="O5" s="105" t="s">
        <v>813</v>
      </c>
      <c r="P5" s="97" t="s">
        <v>814</v>
      </c>
      <c r="Q5" s="106" t="s">
        <v>774</v>
      </c>
      <c r="R5" s="100" t="s">
        <v>17</v>
      </c>
      <c r="S5" s="99" t="s">
        <v>563</v>
      </c>
      <c r="T5" s="101" t="s">
        <v>781</v>
      </c>
      <c r="U5" s="102" t="s">
        <v>815</v>
      </c>
      <c r="V5" s="103" t="s">
        <v>784</v>
      </c>
      <c r="W5" s="83"/>
      <c r="X5" s="83"/>
      <c r="Y5" s="83"/>
    </row>
    <row r="6">
      <c r="A6" s="104"/>
      <c r="B6" s="93" t="s">
        <v>816</v>
      </c>
      <c r="C6" s="99" t="s">
        <v>817</v>
      </c>
      <c r="D6" s="95" t="s">
        <v>17</v>
      </c>
      <c r="E6" s="99" t="s">
        <v>806</v>
      </c>
      <c r="F6" s="97" t="s">
        <v>818</v>
      </c>
      <c r="G6" s="99" t="s">
        <v>819</v>
      </c>
      <c r="H6" s="98" t="s">
        <v>770</v>
      </c>
      <c r="I6" s="99" t="s">
        <v>820</v>
      </c>
      <c r="J6" s="100" t="s">
        <v>821</v>
      </c>
      <c r="K6" s="94" t="s">
        <v>809</v>
      </c>
      <c r="L6" s="101" t="s">
        <v>822</v>
      </c>
      <c r="M6" s="99" t="s">
        <v>784</v>
      </c>
      <c r="N6" s="95" t="s">
        <v>786</v>
      </c>
      <c r="O6" s="99" t="s">
        <v>788</v>
      </c>
      <c r="P6" s="97" t="s">
        <v>75</v>
      </c>
      <c r="Q6" s="83" t="s">
        <v>17</v>
      </c>
      <c r="R6" s="100" t="s">
        <v>785</v>
      </c>
      <c r="S6" s="99" t="s">
        <v>823</v>
      </c>
      <c r="T6" s="107" t="s">
        <v>801</v>
      </c>
      <c r="U6" s="102" t="s">
        <v>767</v>
      </c>
      <c r="V6" s="103" t="s">
        <v>788</v>
      </c>
      <c r="W6" s="83"/>
      <c r="X6" s="83"/>
      <c r="Y6" s="83"/>
    </row>
    <row r="7">
      <c r="A7" s="104"/>
      <c r="B7" s="93" t="s">
        <v>781</v>
      </c>
      <c r="C7" s="99" t="s">
        <v>824</v>
      </c>
      <c r="D7" s="94" t="s">
        <v>823</v>
      </c>
      <c r="E7" s="96" t="s">
        <v>825</v>
      </c>
      <c r="F7" s="97" t="s">
        <v>826</v>
      </c>
      <c r="G7" s="99" t="s">
        <v>827</v>
      </c>
      <c r="H7" s="98" t="s">
        <v>781</v>
      </c>
      <c r="I7" s="94" t="s">
        <v>828</v>
      </c>
      <c r="J7" s="100" t="s">
        <v>769</v>
      </c>
      <c r="K7" s="83" t="s">
        <v>797</v>
      </c>
      <c r="L7" s="101" t="s">
        <v>781</v>
      </c>
      <c r="M7" s="99" t="s">
        <v>788</v>
      </c>
      <c r="N7" s="95" t="s">
        <v>829</v>
      </c>
      <c r="O7" s="99" t="s">
        <v>110</v>
      </c>
      <c r="P7" s="108" t="s">
        <v>830</v>
      </c>
      <c r="Q7" s="96" t="s">
        <v>811</v>
      </c>
      <c r="R7" s="100" t="s">
        <v>770</v>
      </c>
      <c r="S7" s="99" t="s">
        <v>811</v>
      </c>
      <c r="T7" s="109" t="s">
        <v>318</v>
      </c>
      <c r="U7" s="102" t="s">
        <v>17</v>
      </c>
      <c r="V7" s="103" t="s">
        <v>772</v>
      </c>
      <c r="W7" s="83"/>
      <c r="X7" s="83"/>
      <c r="Y7" s="83"/>
    </row>
    <row r="8">
      <c r="A8" s="104"/>
      <c r="B8" s="93" t="s">
        <v>831</v>
      </c>
      <c r="C8" s="99" t="s">
        <v>802</v>
      </c>
      <c r="D8" s="95" t="s">
        <v>799</v>
      </c>
      <c r="E8" s="99" t="s">
        <v>764</v>
      </c>
      <c r="F8" s="97" t="s">
        <v>832</v>
      </c>
      <c r="G8" s="99" t="s">
        <v>785</v>
      </c>
      <c r="H8" s="94" t="s">
        <v>833</v>
      </c>
      <c r="I8" s="99" t="s">
        <v>795</v>
      </c>
      <c r="J8" s="100" t="s">
        <v>833</v>
      </c>
      <c r="K8" s="96" t="s">
        <v>834</v>
      </c>
      <c r="L8" s="101" t="s">
        <v>835</v>
      </c>
      <c r="M8" s="99" t="s">
        <v>772</v>
      </c>
      <c r="N8" s="95" t="s">
        <v>822</v>
      </c>
      <c r="O8" s="105" t="s">
        <v>764</v>
      </c>
      <c r="P8" s="97" t="s">
        <v>781</v>
      </c>
      <c r="Q8" s="106" t="s">
        <v>829</v>
      </c>
      <c r="R8" s="100" t="s">
        <v>789</v>
      </c>
      <c r="S8" s="99" t="s">
        <v>836</v>
      </c>
      <c r="T8" s="101" t="s">
        <v>837</v>
      </c>
      <c r="U8" s="102" t="s">
        <v>802</v>
      </c>
      <c r="V8" s="103" t="s">
        <v>773</v>
      </c>
      <c r="W8" s="83"/>
      <c r="X8" s="83"/>
      <c r="Y8" s="83"/>
    </row>
    <row r="9">
      <c r="A9" s="104"/>
      <c r="B9" s="110" t="s">
        <v>789</v>
      </c>
      <c r="C9" s="99" t="s">
        <v>800</v>
      </c>
      <c r="D9" s="95" t="s">
        <v>782</v>
      </c>
      <c r="E9" s="99" t="s">
        <v>838</v>
      </c>
      <c r="F9" s="94" t="s">
        <v>773</v>
      </c>
      <c r="G9" s="99" t="s">
        <v>820</v>
      </c>
      <c r="H9" s="98" t="s">
        <v>810</v>
      </c>
      <c r="I9" s="99" t="s">
        <v>839</v>
      </c>
      <c r="J9" s="100" t="s">
        <v>801</v>
      </c>
      <c r="K9" s="96" t="s">
        <v>840</v>
      </c>
      <c r="L9" s="101" t="s">
        <v>789</v>
      </c>
      <c r="M9" s="99" t="s">
        <v>770</v>
      </c>
      <c r="N9" s="94" t="s">
        <v>788</v>
      </c>
      <c r="O9" s="99" t="s">
        <v>772</v>
      </c>
      <c r="P9" s="97" t="s">
        <v>768</v>
      </c>
      <c r="Q9" s="96" t="s">
        <v>75</v>
      </c>
      <c r="R9" s="100" t="s">
        <v>790</v>
      </c>
      <c r="S9" s="99" t="s">
        <v>841</v>
      </c>
      <c r="T9" s="107" t="s">
        <v>842</v>
      </c>
      <c r="U9" s="102" t="s">
        <v>843</v>
      </c>
      <c r="V9" s="103" t="s">
        <v>771</v>
      </c>
      <c r="W9" s="83"/>
      <c r="X9" s="83"/>
      <c r="Y9" s="83"/>
    </row>
    <row r="10">
      <c r="A10" s="104"/>
      <c r="B10" s="111" t="s">
        <v>844</v>
      </c>
      <c r="C10" s="99" t="s">
        <v>815</v>
      </c>
      <c r="D10" s="112" t="s">
        <v>836</v>
      </c>
      <c r="E10" s="96" t="s">
        <v>835</v>
      </c>
      <c r="F10" s="97" t="s">
        <v>803</v>
      </c>
      <c r="G10" s="99" t="s">
        <v>837</v>
      </c>
      <c r="H10" s="98" t="s">
        <v>831</v>
      </c>
      <c r="I10" s="99" t="s">
        <v>776</v>
      </c>
      <c r="J10" s="100" t="s">
        <v>24</v>
      </c>
      <c r="K10" s="96" t="s">
        <v>842</v>
      </c>
      <c r="L10" s="101" t="s">
        <v>845</v>
      </c>
      <c r="M10" s="99" t="s">
        <v>781</v>
      </c>
      <c r="N10" s="95" t="s">
        <v>838</v>
      </c>
      <c r="O10" s="105" t="s">
        <v>846</v>
      </c>
      <c r="P10" s="108" t="s">
        <v>847</v>
      </c>
      <c r="Q10" s="106" t="s">
        <v>848</v>
      </c>
      <c r="R10" s="100" t="s">
        <v>787</v>
      </c>
      <c r="S10" s="99" t="s">
        <v>822</v>
      </c>
      <c r="T10" s="113" t="s">
        <v>844</v>
      </c>
      <c r="U10" s="102" t="s">
        <v>763</v>
      </c>
      <c r="V10" s="103" t="s">
        <v>776</v>
      </c>
      <c r="W10" s="83"/>
      <c r="X10" s="83"/>
      <c r="Y10" s="83"/>
    </row>
    <row r="11">
      <c r="A11" s="104"/>
      <c r="B11" s="111" t="s">
        <v>849</v>
      </c>
      <c r="C11" s="99" t="s">
        <v>850</v>
      </c>
      <c r="D11" s="95" t="s">
        <v>830</v>
      </c>
      <c r="E11" s="99" t="s">
        <v>848</v>
      </c>
      <c r="F11" s="97"/>
      <c r="G11" s="99" t="s">
        <v>803</v>
      </c>
      <c r="H11" s="98" t="s">
        <v>821</v>
      </c>
      <c r="I11" s="96" t="s">
        <v>851</v>
      </c>
      <c r="J11" s="100" t="s">
        <v>318</v>
      </c>
      <c r="K11" s="96" t="s">
        <v>852</v>
      </c>
      <c r="L11" s="101" t="s">
        <v>815</v>
      </c>
      <c r="M11" s="99" t="s">
        <v>805</v>
      </c>
      <c r="N11" s="95" t="s">
        <v>853</v>
      </c>
      <c r="O11" s="114" t="s">
        <v>854</v>
      </c>
      <c r="P11" s="108" t="s">
        <v>834</v>
      </c>
      <c r="Q11" s="83" t="s">
        <v>775</v>
      </c>
      <c r="R11" s="100" t="s">
        <v>784</v>
      </c>
      <c r="S11" s="99" t="s">
        <v>827</v>
      </c>
      <c r="T11" s="107" t="s">
        <v>855</v>
      </c>
      <c r="U11" s="102" t="s">
        <v>784</v>
      </c>
      <c r="V11" s="103" t="s">
        <v>856</v>
      </c>
      <c r="W11" s="83"/>
      <c r="X11" s="83"/>
      <c r="Y11" s="83"/>
    </row>
    <row r="12">
      <c r="A12" s="104"/>
      <c r="B12" s="111" t="s">
        <v>851</v>
      </c>
      <c r="C12" s="99" t="s">
        <v>563</v>
      </c>
      <c r="D12" s="95" t="s">
        <v>788</v>
      </c>
      <c r="E12" s="99" t="s">
        <v>857</v>
      </c>
      <c r="F12" s="97"/>
      <c r="G12" s="99" t="s">
        <v>848</v>
      </c>
      <c r="H12" s="98" t="s">
        <v>820</v>
      </c>
      <c r="I12" s="96" t="s">
        <v>858</v>
      </c>
      <c r="J12" s="100" t="s">
        <v>794</v>
      </c>
      <c r="K12" s="83" t="s">
        <v>859</v>
      </c>
      <c r="L12" s="101" t="s">
        <v>803</v>
      </c>
      <c r="M12" s="99" t="s">
        <v>786</v>
      </c>
      <c r="N12" s="95" t="s">
        <v>860</v>
      </c>
      <c r="O12" s="83" t="s">
        <v>842</v>
      </c>
      <c r="P12" s="108" t="s">
        <v>861</v>
      </c>
      <c r="Q12" s="96" t="s">
        <v>785</v>
      </c>
      <c r="R12" s="100" t="s">
        <v>786</v>
      </c>
      <c r="S12" s="99" t="s">
        <v>857</v>
      </c>
      <c r="T12" s="115"/>
      <c r="U12" s="99" t="s">
        <v>778</v>
      </c>
      <c r="V12" s="103" t="s">
        <v>816</v>
      </c>
      <c r="W12" s="83"/>
      <c r="X12" s="83"/>
      <c r="Y12" s="83"/>
    </row>
    <row r="13">
      <c r="A13" s="104"/>
      <c r="B13" s="111" t="s">
        <v>842</v>
      </c>
      <c r="C13" s="116" t="s">
        <v>854</v>
      </c>
      <c r="D13" s="95" t="s">
        <v>785</v>
      </c>
      <c r="E13" s="99" t="s">
        <v>849</v>
      </c>
      <c r="F13" s="97"/>
      <c r="G13" s="99" t="s">
        <v>862</v>
      </c>
      <c r="H13" s="98" t="s">
        <v>863</v>
      </c>
      <c r="I13" s="96" t="s">
        <v>864</v>
      </c>
      <c r="J13" s="100"/>
      <c r="K13" s="99"/>
      <c r="L13" s="101" t="s">
        <v>865</v>
      </c>
      <c r="M13" s="99" t="s">
        <v>778</v>
      </c>
      <c r="N13" s="95" t="s">
        <v>808</v>
      </c>
      <c r="O13" s="105" t="s">
        <v>861</v>
      </c>
      <c r="P13" s="108" t="s">
        <v>794</v>
      </c>
      <c r="Q13" s="106" t="s">
        <v>816</v>
      </c>
      <c r="R13" s="100" t="s">
        <v>765</v>
      </c>
      <c r="S13" s="99" t="s">
        <v>858</v>
      </c>
      <c r="T13" s="115"/>
      <c r="U13" s="99" t="s">
        <v>786</v>
      </c>
      <c r="V13" s="103" t="s">
        <v>778</v>
      </c>
      <c r="W13" s="83"/>
      <c r="X13" s="83"/>
      <c r="Y13" s="83"/>
    </row>
    <row r="14">
      <c r="A14" s="104"/>
      <c r="B14" s="93" t="s">
        <v>788</v>
      </c>
      <c r="C14" s="117" t="s">
        <v>863</v>
      </c>
      <c r="D14" s="95" t="s">
        <v>781</v>
      </c>
      <c r="E14" s="99" t="s">
        <v>866</v>
      </c>
      <c r="F14" s="97"/>
      <c r="G14" s="99" t="s">
        <v>811</v>
      </c>
      <c r="H14" s="98" t="s">
        <v>862</v>
      </c>
      <c r="I14" s="96" t="s">
        <v>867</v>
      </c>
      <c r="J14" s="100"/>
      <c r="K14" s="99"/>
      <c r="L14" s="101" t="s">
        <v>832</v>
      </c>
      <c r="M14" s="94" t="s">
        <v>832</v>
      </c>
      <c r="N14" s="95" t="s">
        <v>821</v>
      </c>
      <c r="O14" s="106" t="s">
        <v>868</v>
      </c>
      <c r="P14" s="108" t="s">
        <v>793</v>
      </c>
      <c r="Q14" s="96" t="s">
        <v>817</v>
      </c>
      <c r="R14" s="100" t="s">
        <v>788</v>
      </c>
      <c r="S14" s="99" t="s">
        <v>868</v>
      </c>
      <c r="T14" s="118"/>
      <c r="U14" s="119" t="s">
        <v>869</v>
      </c>
      <c r="V14" s="103" t="s">
        <v>832</v>
      </c>
      <c r="W14" s="83"/>
      <c r="X14" s="83"/>
      <c r="Y14" s="83"/>
    </row>
    <row r="15">
      <c r="A15" s="104"/>
      <c r="B15" s="93"/>
      <c r="C15" s="116" t="s">
        <v>870</v>
      </c>
      <c r="D15" s="95" t="s">
        <v>871</v>
      </c>
      <c r="E15" s="99" t="s">
        <v>789</v>
      </c>
      <c r="F15" s="97"/>
      <c r="G15" s="99" t="s">
        <v>855</v>
      </c>
      <c r="H15" s="98" t="s">
        <v>786</v>
      </c>
      <c r="I15" s="96" t="s">
        <v>872</v>
      </c>
      <c r="J15" s="100"/>
      <c r="K15" s="99"/>
      <c r="L15" s="101" t="s">
        <v>563</v>
      </c>
      <c r="M15" s="99" t="s">
        <v>782</v>
      </c>
      <c r="N15" s="95" t="s">
        <v>770</v>
      </c>
      <c r="O15" s="83" t="s">
        <v>873</v>
      </c>
      <c r="P15" s="94" t="s">
        <v>815</v>
      </c>
      <c r="Q15" s="106" t="s">
        <v>856</v>
      </c>
      <c r="R15" s="100" t="s">
        <v>783</v>
      </c>
      <c r="T15" s="120"/>
      <c r="U15" s="119" t="s">
        <v>874</v>
      </c>
      <c r="V15" s="103" t="s">
        <v>849</v>
      </c>
      <c r="W15" s="83"/>
      <c r="X15" s="83"/>
      <c r="Y15" s="83"/>
    </row>
    <row r="16">
      <c r="A16" s="104"/>
      <c r="B16" s="93"/>
      <c r="C16" s="116" t="s">
        <v>875</v>
      </c>
      <c r="D16" s="95" t="s">
        <v>776</v>
      </c>
      <c r="E16" s="99" t="s">
        <v>828</v>
      </c>
      <c r="F16" s="97"/>
      <c r="G16" s="99" t="s">
        <v>876</v>
      </c>
      <c r="H16" s="98" t="s">
        <v>853</v>
      </c>
      <c r="I16" s="96" t="s">
        <v>789</v>
      </c>
      <c r="J16" s="100"/>
      <c r="K16" s="99"/>
      <c r="L16" s="101" t="s">
        <v>837</v>
      </c>
      <c r="M16" s="99" t="s">
        <v>819</v>
      </c>
      <c r="N16" s="95" t="s">
        <v>815</v>
      </c>
      <c r="O16" s="96" t="s">
        <v>877</v>
      </c>
      <c r="P16" s="108" t="s">
        <v>817</v>
      </c>
      <c r="Q16" s="83" t="s">
        <v>832</v>
      </c>
      <c r="R16" s="121" t="s">
        <v>851</v>
      </c>
      <c r="T16" s="120"/>
      <c r="U16" s="119" t="s">
        <v>110</v>
      </c>
      <c r="V16" s="103" t="s">
        <v>878</v>
      </c>
      <c r="W16" s="83"/>
      <c r="X16" s="83"/>
      <c r="Y16" s="83"/>
    </row>
    <row r="17">
      <c r="A17" s="104"/>
      <c r="B17" s="93"/>
      <c r="C17" s="122" t="s">
        <v>878</v>
      </c>
      <c r="D17" s="95" t="s">
        <v>812</v>
      </c>
      <c r="E17" s="99" t="s">
        <v>836</v>
      </c>
      <c r="F17" s="97"/>
      <c r="G17" s="99" t="s">
        <v>863</v>
      </c>
      <c r="H17" s="98" t="s">
        <v>767</v>
      </c>
      <c r="I17" s="96" t="s">
        <v>815</v>
      </c>
      <c r="J17" s="100"/>
      <c r="K17" s="99"/>
      <c r="L17" s="101" t="s">
        <v>879</v>
      </c>
      <c r="M17" s="99" t="s">
        <v>768</v>
      </c>
      <c r="N17" s="95" t="s">
        <v>845</v>
      </c>
      <c r="O17" s="123" t="s">
        <v>814</v>
      </c>
      <c r="P17" s="108" t="s">
        <v>880</v>
      </c>
      <c r="Q17" s="96" t="s">
        <v>809</v>
      </c>
      <c r="R17" s="121" t="s">
        <v>828</v>
      </c>
      <c r="S17" s="114"/>
      <c r="T17" s="120"/>
      <c r="U17" s="102" t="s">
        <v>881</v>
      </c>
      <c r="V17" s="103" t="s">
        <v>869</v>
      </c>
      <c r="W17" s="83"/>
      <c r="X17" s="83"/>
      <c r="Y17" s="83"/>
    </row>
    <row r="18">
      <c r="A18" s="104"/>
      <c r="B18" s="93"/>
      <c r="C18" s="116" t="s">
        <v>882</v>
      </c>
      <c r="D18" s="95" t="s">
        <v>816</v>
      </c>
      <c r="E18" s="99" t="s">
        <v>883</v>
      </c>
      <c r="F18" s="97"/>
      <c r="G18" s="99" t="s">
        <v>884</v>
      </c>
      <c r="H18" s="98" t="s">
        <v>771</v>
      </c>
      <c r="I18" s="96" t="s">
        <v>885</v>
      </c>
      <c r="J18" s="100"/>
      <c r="K18" s="99"/>
      <c r="L18" s="120" t="s">
        <v>886</v>
      </c>
      <c r="M18" s="96" t="s">
        <v>875</v>
      </c>
      <c r="N18" s="95" t="s">
        <v>17</v>
      </c>
      <c r="O18" s="106" t="s">
        <v>844</v>
      </c>
      <c r="P18" s="108" t="s">
        <v>799</v>
      </c>
      <c r="Q18" s="106" t="s">
        <v>827</v>
      </c>
      <c r="R18" s="121" t="s">
        <v>845</v>
      </c>
      <c r="S18" s="114"/>
      <c r="T18" s="120"/>
      <c r="U18" s="102" t="s">
        <v>768</v>
      </c>
      <c r="V18" s="103" t="s">
        <v>770</v>
      </c>
      <c r="W18" s="83"/>
      <c r="X18" s="83"/>
      <c r="Y18" s="83"/>
    </row>
    <row r="19">
      <c r="A19" s="104"/>
      <c r="B19" s="93"/>
      <c r="C19" s="99" t="s">
        <v>887</v>
      </c>
      <c r="D19" s="95" t="s">
        <v>881</v>
      </c>
      <c r="E19" s="99" t="s">
        <v>824</v>
      </c>
      <c r="F19" s="97"/>
      <c r="H19" s="98" t="s">
        <v>886</v>
      </c>
      <c r="I19" s="96" t="s">
        <v>888</v>
      </c>
      <c r="J19" s="100"/>
      <c r="K19" s="99"/>
      <c r="L19" s="120" t="s">
        <v>813</v>
      </c>
      <c r="M19" s="96" t="s">
        <v>876</v>
      </c>
      <c r="N19" s="95" t="s">
        <v>693</v>
      </c>
      <c r="O19" s="96" t="s">
        <v>815</v>
      </c>
      <c r="P19" s="108" t="s">
        <v>812</v>
      </c>
      <c r="Q19" s="96" t="s">
        <v>845</v>
      </c>
      <c r="R19" s="121" t="s">
        <v>844</v>
      </c>
      <c r="S19" s="114"/>
      <c r="T19" s="120"/>
      <c r="U19" s="102" t="s">
        <v>889</v>
      </c>
      <c r="V19" s="103" t="s">
        <v>233</v>
      </c>
      <c r="W19" s="83"/>
      <c r="X19" s="83"/>
      <c r="Y19" s="83"/>
    </row>
    <row r="20">
      <c r="A20" s="104"/>
      <c r="B20" s="93"/>
      <c r="C20" s="99" t="s">
        <v>17</v>
      </c>
      <c r="D20" s="95" t="s">
        <v>889</v>
      </c>
      <c r="E20" s="94" t="s">
        <v>826</v>
      </c>
      <c r="F20" s="97"/>
      <c r="H20" s="98" t="s">
        <v>890</v>
      </c>
      <c r="I20" s="96" t="s">
        <v>891</v>
      </c>
      <c r="J20" s="100"/>
      <c r="K20" s="99"/>
      <c r="L20" s="120" t="s">
        <v>849</v>
      </c>
      <c r="M20" s="96" t="s">
        <v>892</v>
      </c>
      <c r="N20" s="95" t="s">
        <v>795</v>
      </c>
      <c r="O20" s="106" t="s">
        <v>855</v>
      </c>
      <c r="P20" s="108" t="s">
        <v>871</v>
      </c>
      <c r="Q20" s="106" t="s">
        <v>794</v>
      </c>
      <c r="R20" s="124"/>
      <c r="S20" s="114"/>
      <c r="T20" s="120"/>
      <c r="U20" s="102" t="s">
        <v>875</v>
      </c>
      <c r="V20" s="103" t="s">
        <v>855</v>
      </c>
      <c r="W20" s="83"/>
      <c r="X20" s="83"/>
      <c r="Y20" s="83"/>
    </row>
    <row r="21">
      <c r="A21" s="104"/>
      <c r="B21" s="93"/>
      <c r="C21" s="96" t="s">
        <v>893</v>
      </c>
      <c r="D21" s="95" t="s">
        <v>852</v>
      </c>
      <c r="E21" s="99" t="s">
        <v>783</v>
      </c>
      <c r="F21" s="97"/>
      <c r="G21" s="99"/>
      <c r="H21" s="98" t="s">
        <v>894</v>
      </c>
      <c r="I21" s="96" t="s">
        <v>895</v>
      </c>
      <c r="J21" s="100"/>
      <c r="K21" s="99"/>
      <c r="L21" s="125" t="s">
        <v>878</v>
      </c>
      <c r="M21" s="96" t="s">
        <v>851</v>
      </c>
      <c r="N21" s="95" t="s">
        <v>839</v>
      </c>
      <c r="O21" s="83" t="s">
        <v>824</v>
      </c>
      <c r="P21" s="108" t="s">
        <v>856</v>
      </c>
      <c r="Q21" s="83" t="s">
        <v>842</v>
      </c>
      <c r="R21" s="124"/>
      <c r="S21" s="114"/>
      <c r="T21" s="120"/>
      <c r="U21" s="102" t="s">
        <v>896</v>
      </c>
      <c r="V21" s="103" t="s">
        <v>874</v>
      </c>
      <c r="W21" s="83"/>
      <c r="X21" s="83"/>
      <c r="Y21" s="83"/>
    </row>
    <row r="22">
      <c r="A22" s="104"/>
      <c r="B22" s="93"/>
      <c r="C22" s="126" t="s">
        <v>895</v>
      </c>
      <c r="D22" s="95" t="s">
        <v>846</v>
      </c>
      <c r="E22" s="99" t="s">
        <v>765</v>
      </c>
      <c r="F22" s="97"/>
      <c r="G22" s="99"/>
      <c r="H22" s="98"/>
      <c r="I22" s="99"/>
      <c r="J22" s="100"/>
      <c r="K22" s="99"/>
      <c r="L22" s="101" t="s">
        <v>840</v>
      </c>
      <c r="M22" s="96" t="s">
        <v>861</v>
      </c>
      <c r="N22" s="95" t="s">
        <v>864</v>
      </c>
      <c r="O22" s="96" t="s">
        <v>897</v>
      </c>
      <c r="P22" s="108" t="s">
        <v>851</v>
      </c>
      <c r="Q22" s="96" t="s">
        <v>834</v>
      </c>
      <c r="R22" s="124"/>
      <c r="S22" s="114"/>
      <c r="T22" s="120"/>
      <c r="U22" s="102" t="s">
        <v>882</v>
      </c>
      <c r="V22" s="103" t="s">
        <v>898</v>
      </c>
      <c r="W22" s="83"/>
      <c r="X22" s="83"/>
      <c r="Y22" s="83"/>
    </row>
    <row r="23">
      <c r="A23" s="104"/>
      <c r="B23" s="93"/>
      <c r="C23" s="96" t="s">
        <v>891</v>
      </c>
      <c r="D23" s="95" t="s">
        <v>884</v>
      </c>
      <c r="E23" s="99" t="s">
        <v>823</v>
      </c>
      <c r="F23" s="97"/>
      <c r="G23" s="99"/>
      <c r="H23" s="98"/>
      <c r="I23" s="99"/>
      <c r="J23" s="100"/>
      <c r="K23" s="99"/>
      <c r="L23" s="120" t="s">
        <v>810</v>
      </c>
      <c r="M23" s="96" t="s">
        <v>844</v>
      </c>
      <c r="N23" s="95" t="s">
        <v>852</v>
      </c>
      <c r="O23" s="106" t="s">
        <v>847</v>
      </c>
      <c r="P23" s="108"/>
      <c r="Q23" s="96" t="s">
        <v>887</v>
      </c>
      <c r="R23" s="124"/>
      <c r="S23" s="114"/>
      <c r="T23" s="120"/>
      <c r="U23" s="102" t="s">
        <v>899</v>
      </c>
      <c r="V23" s="103" t="s">
        <v>828</v>
      </c>
      <c r="W23" s="83"/>
      <c r="X23" s="83"/>
      <c r="Y23" s="83"/>
    </row>
    <row r="24">
      <c r="A24" s="104"/>
      <c r="B24" s="93"/>
      <c r="C24" s="96" t="s">
        <v>788</v>
      </c>
      <c r="D24" s="95" t="s">
        <v>859</v>
      </c>
      <c r="E24" s="99" t="s">
        <v>804</v>
      </c>
      <c r="F24" s="97"/>
      <c r="G24" s="99"/>
      <c r="H24" s="98"/>
      <c r="I24" s="99"/>
      <c r="J24" s="100"/>
      <c r="K24" s="99"/>
      <c r="L24" s="101" t="s">
        <v>836</v>
      </c>
      <c r="M24" s="96" t="s">
        <v>868</v>
      </c>
      <c r="N24" s="95" t="s">
        <v>796</v>
      </c>
      <c r="O24" s="106" t="s">
        <v>890</v>
      </c>
      <c r="P24" s="108"/>
      <c r="R24" s="124"/>
      <c r="S24" s="114"/>
      <c r="T24" s="120"/>
      <c r="U24" s="102" t="s">
        <v>873</v>
      </c>
      <c r="V24" s="103" t="s">
        <v>843</v>
      </c>
      <c r="W24" s="83"/>
      <c r="X24" s="83"/>
      <c r="Y24" s="83"/>
    </row>
    <row r="25">
      <c r="A25" s="104"/>
      <c r="B25" s="93"/>
      <c r="C25" s="96" t="s">
        <v>900</v>
      </c>
      <c r="D25" s="95" t="s">
        <v>887</v>
      </c>
      <c r="E25" s="96" t="s">
        <v>822</v>
      </c>
      <c r="F25" s="97"/>
      <c r="H25" s="98"/>
      <c r="J25" s="100"/>
      <c r="L25" s="101" t="s">
        <v>883</v>
      </c>
      <c r="M25" s="96" t="s">
        <v>867</v>
      </c>
      <c r="N25" s="95" t="s">
        <v>851</v>
      </c>
      <c r="O25" s="106" t="s">
        <v>863</v>
      </c>
      <c r="P25" s="108"/>
      <c r="Q25" s="106"/>
      <c r="R25" s="121"/>
      <c r="S25" s="99"/>
      <c r="T25" s="127"/>
      <c r="U25" s="102" t="s">
        <v>859</v>
      </c>
      <c r="V25" s="103" t="s">
        <v>795</v>
      </c>
      <c r="W25" s="83"/>
      <c r="X25" s="83"/>
      <c r="Y25" s="83"/>
    </row>
    <row r="26">
      <c r="A26" s="104"/>
      <c r="B26" s="93"/>
      <c r="D26" s="95" t="s">
        <v>894</v>
      </c>
      <c r="E26" s="96" t="s">
        <v>833</v>
      </c>
      <c r="F26" s="97"/>
      <c r="H26" s="98"/>
      <c r="J26" s="100"/>
      <c r="L26" s="101" t="s">
        <v>869</v>
      </c>
      <c r="M26" s="96"/>
      <c r="N26" s="95" t="s">
        <v>797</v>
      </c>
      <c r="O26" s="106" t="s">
        <v>876</v>
      </c>
      <c r="P26" s="108"/>
      <c r="Q26" s="83"/>
      <c r="R26" s="121"/>
      <c r="S26" s="99"/>
      <c r="T26" s="127"/>
      <c r="U26" s="128" t="s">
        <v>845</v>
      </c>
      <c r="V26" s="103"/>
      <c r="W26" s="83"/>
      <c r="X26" s="83"/>
      <c r="Y26" s="83"/>
    </row>
    <row r="27">
      <c r="A27" s="104"/>
      <c r="B27" s="93"/>
      <c r="D27" s="95" t="s">
        <v>901</v>
      </c>
      <c r="E27" s="96" t="s">
        <v>772</v>
      </c>
      <c r="F27" s="97"/>
      <c r="H27" s="98"/>
      <c r="I27" s="96"/>
      <c r="J27" s="100"/>
      <c r="L27" s="101" t="s">
        <v>874</v>
      </c>
      <c r="N27" s="95" t="s">
        <v>899</v>
      </c>
      <c r="O27" s="105" t="s">
        <v>886</v>
      </c>
      <c r="P27" s="108"/>
      <c r="Q27" s="96"/>
      <c r="R27" s="121"/>
      <c r="S27" s="99"/>
      <c r="T27" s="127"/>
      <c r="U27" s="83" t="s">
        <v>850</v>
      </c>
      <c r="V27" s="103"/>
      <c r="W27" s="83"/>
      <c r="X27" s="83"/>
      <c r="Y27" s="83"/>
    </row>
    <row r="28">
      <c r="A28" s="104"/>
      <c r="B28" s="93"/>
      <c r="C28" s="99"/>
      <c r="D28" s="129" t="s">
        <v>856</v>
      </c>
      <c r="E28" s="96" t="s">
        <v>846</v>
      </c>
      <c r="F28" s="97"/>
      <c r="G28" s="96"/>
      <c r="H28" s="98"/>
      <c r="I28" s="96"/>
      <c r="J28" s="100"/>
      <c r="L28" s="101"/>
      <c r="M28" s="96"/>
      <c r="N28" s="95" t="s">
        <v>872</v>
      </c>
      <c r="O28" s="105" t="s">
        <v>881</v>
      </c>
      <c r="P28" s="108"/>
      <c r="Q28" s="106"/>
      <c r="R28" s="121"/>
      <c r="S28" s="99"/>
      <c r="T28" s="127"/>
      <c r="U28" s="83" t="s">
        <v>902</v>
      </c>
      <c r="V28" s="103"/>
      <c r="W28" s="83"/>
      <c r="X28" s="83"/>
      <c r="Y28" s="83"/>
    </row>
    <row r="29">
      <c r="A29" s="104"/>
      <c r="B29" s="93"/>
      <c r="C29" s="96"/>
      <c r="D29" s="129" t="s">
        <v>693</v>
      </c>
      <c r="E29" s="96" t="s">
        <v>781</v>
      </c>
      <c r="F29" s="97"/>
      <c r="H29" s="98"/>
      <c r="I29" s="96"/>
      <c r="J29" s="100"/>
      <c r="L29" s="101"/>
      <c r="M29" s="96"/>
      <c r="N29" s="95" t="s">
        <v>583</v>
      </c>
      <c r="O29" s="130" t="s">
        <v>891</v>
      </c>
      <c r="P29" s="108"/>
      <c r="R29" s="121"/>
      <c r="S29" s="99"/>
      <c r="T29" s="127"/>
      <c r="U29" s="102"/>
      <c r="V29" s="103"/>
      <c r="W29" s="83"/>
      <c r="X29" s="83"/>
      <c r="Y29" s="83"/>
    </row>
    <row r="30">
      <c r="A30" s="104"/>
      <c r="B30" s="93"/>
      <c r="C30" s="96"/>
      <c r="D30" s="131" t="s">
        <v>838</v>
      </c>
      <c r="E30" s="96" t="s">
        <v>903</v>
      </c>
      <c r="F30" s="97"/>
      <c r="H30" s="98"/>
      <c r="I30" s="96"/>
      <c r="J30" s="100"/>
      <c r="K30" s="96"/>
      <c r="L30" s="101"/>
      <c r="M30" s="96"/>
      <c r="N30" s="95" t="s">
        <v>894</v>
      </c>
      <c r="O30" s="106" t="s">
        <v>893</v>
      </c>
      <c r="P30" s="108"/>
      <c r="Q30" s="83"/>
      <c r="R30" s="121"/>
      <c r="S30" s="99"/>
      <c r="T30" s="113"/>
      <c r="U30" s="102"/>
      <c r="V30" s="103"/>
      <c r="W30" s="83"/>
      <c r="X30" s="83"/>
      <c r="Y30" s="83"/>
    </row>
    <row r="31">
      <c r="A31" s="104"/>
      <c r="B31" s="93"/>
      <c r="C31" s="96"/>
      <c r="D31" s="95" t="s">
        <v>895</v>
      </c>
      <c r="E31" s="96" t="s">
        <v>868</v>
      </c>
      <c r="F31" s="97"/>
      <c r="G31" s="96"/>
      <c r="H31" s="98"/>
      <c r="I31" s="96"/>
      <c r="J31" s="100"/>
      <c r="L31" s="101"/>
      <c r="N31" s="95" t="s">
        <v>843</v>
      </c>
      <c r="O31" s="106" t="s">
        <v>904</v>
      </c>
      <c r="P31" s="132"/>
      <c r="R31" s="121"/>
      <c r="S31" s="99"/>
      <c r="T31" s="107"/>
      <c r="U31" s="102"/>
      <c r="V31" s="103"/>
      <c r="W31" s="83"/>
      <c r="X31" s="83"/>
      <c r="Y31" s="83"/>
    </row>
    <row r="32">
      <c r="A32" s="104"/>
      <c r="B32" s="93"/>
      <c r="C32" s="96"/>
      <c r="D32" s="95" t="s">
        <v>885</v>
      </c>
      <c r="E32" s="96" t="s">
        <v>875</v>
      </c>
      <c r="F32" s="97"/>
      <c r="G32" s="96"/>
      <c r="H32" s="98"/>
      <c r="J32" s="100"/>
      <c r="L32" s="120"/>
      <c r="N32" s="129" t="s">
        <v>828</v>
      </c>
      <c r="P32" s="132"/>
      <c r="R32" s="121"/>
      <c r="S32" s="99"/>
      <c r="T32" s="107"/>
      <c r="U32" s="102"/>
      <c r="V32" s="103"/>
      <c r="W32" s="83"/>
      <c r="X32" s="83"/>
      <c r="Y32" s="83"/>
    </row>
    <row r="33">
      <c r="A33" s="104"/>
      <c r="B33" s="93"/>
      <c r="C33" s="96"/>
      <c r="D33" s="95" t="s">
        <v>769</v>
      </c>
      <c r="E33" s="96" t="s">
        <v>815</v>
      </c>
      <c r="F33" s="97"/>
      <c r="G33" s="83"/>
      <c r="H33" s="98"/>
      <c r="J33" s="100"/>
      <c r="K33" s="83"/>
      <c r="L33" s="101"/>
      <c r="N33" s="95"/>
      <c r="P33" s="132"/>
      <c r="R33" s="121"/>
      <c r="S33" s="99"/>
      <c r="T33" s="107"/>
      <c r="U33" s="102"/>
      <c r="V33" s="103"/>
      <c r="W33" s="83"/>
      <c r="X33" s="83"/>
      <c r="Y33" s="83"/>
    </row>
    <row r="34">
      <c r="A34" s="104"/>
      <c r="B34" s="93"/>
      <c r="C34" s="96"/>
      <c r="D34" s="95" t="s">
        <v>893</v>
      </c>
      <c r="E34" s="96" t="s">
        <v>894</v>
      </c>
      <c r="F34" s="97"/>
      <c r="G34" s="83"/>
      <c r="H34" s="98"/>
      <c r="I34" s="96"/>
      <c r="J34" s="100"/>
      <c r="K34" s="83"/>
      <c r="L34" s="101"/>
      <c r="N34" s="95"/>
      <c r="P34" s="132"/>
      <c r="R34" s="121"/>
      <c r="S34" s="99"/>
      <c r="T34" s="107"/>
      <c r="U34" s="102"/>
      <c r="V34" s="103"/>
      <c r="W34" s="83"/>
      <c r="X34" s="83"/>
      <c r="Y34" s="83"/>
    </row>
    <row r="35">
      <c r="A35" s="104"/>
      <c r="B35" s="93"/>
      <c r="C35" s="96"/>
      <c r="D35" s="95" t="s">
        <v>795</v>
      </c>
      <c r="E35" s="96" t="s">
        <v>887</v>
      </c>
      <c r="F35" s="97"/>
      <c r="G35" s="83"/>
      <c r="H35" s="98"/>
      <c r="J35" s="100"/>
      <c r="K35" s="83"/>
      <c r="L35" s="101"/>
      <c r="M35" s="96"/>
      <c r="N35" s="95"/>
      <c r="P35" s="132"/>
      <c r="R35" s="121"/>
      <c r="S35" s="99"/>
      <c r="T35" s="107"/>
      <c r="U35" s="102"/>
      <c r="V35" s="103"/>
      <c r="W35" s="83"/>
      <c r="X35" s="83"/>
      <c r="Y35" s="83"/>
    </row>
    <row r="36">
      <c r="A36" s="104"/>
      <c r="B36" s="93"/>
      <c r="C36" s="96"/>
      <c r="D36" s="95" t="s">
        <v>768</v>
      </c>
      <c r="E36" s="96" t="s">
        <v>884</v>
      </c>
      <c r="F36" s="97"/>
      <c r="G36" s="83"/>
      <c r="H36" s="98"/>
      <c r="J36" s="100"/>
      <c r="K36" s="83"/>
      <c r="L36" s="101"/>
      <c r="N36" s="95"/>
      <c r="O36" s="106"/>
      <c r="P36" s="132"/>
      <c r="R36" s="121"/>
      <c r="S36" s="99"/>
      <c r="T36" s="107"/>
      <c r="U36" s="102"/>
      <c r="V36" s="103"/>
      <c r="W36" s="83"/>
      <c r="X36" s="83"/>
      <c r="Y36" s="83"/>
    </row>
    <row r="37">
      <c r="A37" s="104"/>
      <c r="B37" s="93"/>
      <c r="C37" s="96"/>
      <c r="D37" s="95" t="s">
        <v>789</v>
      </c>
      <c r="E37" s="133" t="s">
        <v>893</v>
      </c>
      <c r="F37" s="97"/>
      <c r="G37" s="83"/>
      <c r="H37" s="98"/>
      <c r="I37" s="96"/>
      <c r="J37" s="100"/>
      <c r="K37" s="83"/>
      <c r="L37" s="101"/>
      <c r="N37" s="95"/>
      <c r="P37" s="132"/>
      <c r="Q37" s="83"/>
      <c r="R37" s="121"/>
      <c r="S37" s="114"/>
      <c r="T37" s="107"/>
      <c r="U37" s="102"/>
      <c r="V37" s="103"/>
      <c r="W37" s="83"/>
      <c r="X37" s="83"/>
      <c r="Y37" s="83"/>
    </row>
    <row r="38">
      <c r="A38" s="104"/>
      <c r="B38" s="93"/>
      <c r="C38" s="96"/>
      <c r="D38" s="95"/>
      <c r="E38" s="133" t="s">
        <v>900</v>
      </c>
      <c r="F38" s="97"/>
      <c r="G38" s="83"/>
      <c r="H38" s="98"/>
      <c r="I38" s="96"/>
      <c r="J38" s="100"/>
      <c r="K38" s="83"/>
      <c r="L38" s="101"/>
      <c r="N38" s="95"/>
      <c r="P38" s="132"/>
      <c r="Q38" s="83"/>
      <c r="R38" s="121"/>
      <c r="S38" s="114"/>
      <c r="T38" s="107"/>
      <c r="U38" s="102"/>
      <c r="V38" s="103"/>
      <c r="W38" s="83"/>
      <c r="X38" s="83"/>
      <c r="Y38" s="83"/>
    </row>
    <row r="39">
      <c r="A39" s="134"/>
      <c r="B39" s="135"/>
      <c r="C39" s="136"/>
      <c r="D39" s="137"/>
      <c r="E39" s="138" t="s">
        <v>905</v>
      </c>
      <c r="F39" s="139"/>
      <c r="G39" s="136"/>
      <c r="H39" s="140"/>
      <c r="I39" s="136"/>
      <c r="J39" s="141"/>
      <c r="K39" s="136"/>
      <c r="L39" s="142"/>
      <c r="M39" s="136"/>
      <c r="N39" s="137"/>
      <c r="O39" s="136"/>
      <c r="P39" s="139"/>
      <c r="Q39" s="136"/>
      <c r="R39" s="141"/>
      <c r="S39" s="136"/>
      <c r="T39" s="142"/>
      <c r="U39" s="136"/>
      <c r="V39" s="140"/>
      <c r="W39" s="83"/>
      <c r="X39" s="83"/>
      <c r="Y39" s="83"/>
    </row>
    <row r="40">
      <c r="A40" s="143" t="s">
        <v>906</v>
      </c>
      <c r="B40" s="93"/>
      <c r="D40" s="95"/>
      <c r="E40" s="83" t="s">
        <v>895</v>
      </c>
      <c r="F40" s="97"/>
      <c r="G40" s="83"/>
      <c r="H40" s="98"/>
      <c r="J40" s="100"/>
      <c r="K40" s="83"/>
      <c r="L40" s="101"/>
      <c r="M40" s="83"/>
      <c r="N40" s="95"/>
      <c r="P40" s="132"/>
      <c r="Q40" s="83"/>
      <c r="R40" s="121"/>
      <c r="S40" s="114"/>
      <c r="T40" s="107"/>
      <c r="V40" s="103"/>
      <c r="W40" s="83"/>
      <c r="X40" s="83"/>
      <c r="Y40" s="83"/>
    </row>
    <row r="41">
      <c r="B41" s="93"/>
      <c r="D41" s="95"/>
      <c r="E41" s="83" t="s">
        <v>885</v>
      </c>
      <c r="F41" s="97"/>
      <c r="G41" s="83"/>
      <c r="H41" s="98"/>
      <c r="J41" s="100"/>
      <c r="K41" s="83"/>
      <c r="L41" s="101"/>
      <c r="M41" s="83"/>
      <c r="N41" s="95"/>
      <c r="P41" s="132"/>
      <c r="Q41" s="83"/>
      <c r="R41" s="121"/>
      <c r="S41" s="114"/>
      <c r="T41" s="107"/>
      <c r="V41" s="103"/>
      <c r="W41" s="83"/>
      <c r="X41" s="83"/>
      <c r="Y41" s="83"/>
    </row>
    <row r="42">
      <c r="B42" s="93"/>
      <c r="D42" s="95"/>
      <c r="E42" s="83" t="s">
        <v>788</v>
      </c>
      <c r="F42" s="97"/>
      <c r="G42" s="83"/>
      <c r="H42" s="98"/>
      <c r="J42" s="100"/>
      <c r="K42" s="83"/>
      <c r="L42" s="101"/>
      <c r="M42" s="83"/>
      <c r="N42" s="95"/>
      <c r="P42" s="132"/>
      <c r="Q42" s="83"/>
      <c r="R42" s="121"/>
      <c r="S42" s="114"/>
      <c r="T42" s="107"/>
      <c r="V42" s="103"/>
      <c r="W42" s="83"/>
      <c r="X42" s="83"/>
      <c r="Y42" s="83"/>
    </row>
    <row r="43">
      <c r="B43" s="93"/>
      <c r="D43" s="95"/>
      <c r="E43" s="83" t="s">
        <v>110</v>
      </c>
      <c r="F43" s="97"/>
      <c r="G43" s="83"/>
      <c r="H43" s="98"/>
      <c r="J43" s="100"/>
      <c r="K43" s="83"/>
      <c r="L43" s="101"/>
      <c r="M43" s="83"/>
      <c r="N43" s="95"/>
      <c r="P43" s="132"/>
      <c r="Q43" s="83"/>
      <c r="R43" s="121"/>
      <c r="S43" s="114"/>
      <c r="T43" s="107"/>
      <c r="U43" s="102"/>
      <c r="V43" s="103"/>
      <c r="W43" s="83"/>
      <c r="X43" s="83"/>
      <c r="Y43" s="83"/>
    </row>
    <row r="44">
      <c r="B44" s="93"/>
      <c r="D44" s="95"/>
      <c r="E44" s="144"/>
      <c r="F44" s="97"/>
      <c r="G44" s="83"/>
      <c r="H44" s="98"/>
      <c r="I44" s="83"/>
      <c r="J44" s="100"/>
      <c r="K44" s="83"/>
      <c r="L44" s="101"/>
      <c r="M44" s="83"/>
      <c r="N44" s="95"/>
      <c r="O44" s="83"/>
      <c r="P44" s="132"/>
      <c r="Q44" s="83"/>
      <c r="R44" s="121"/>
      <c r="S44" s="114"/>
      <c r="T44" s="107"/>
      <c r="V44" s="103"/>
      <c r="W44" s="83"/>
      <c r="X44" s="83"/>
      <c r="Y44" s="83"/>
    </row>
    <row r="45">
      <c r="B45" s="93"/>
      <c r="C45" s="83"/>
      <c r="D45" s="95"/>
      <c r="F45" s="97"/>
      <c r="G45" s="83"/>
      <c r="H45" s="98"/>
      <c r="I45" s="83"/>
      <c r="J45" s="100"/>
      <c r="K45" s="83"/>
      <c r="L45" s="101"/>
      <c r="M45" s="83"/>
      <c r="N45" s="95"/>
      <c r="P45" s="132"/>
      <c r="Q45" s="83"/>
      <c r="R45" s="121"/>
      <c r="S45" s="114"/>
      <c r="T45" s="107"/>
      <c r="V45" s="103"/>
      <c r="W45" s="83"/>
      <c r="X45" s="83"/>
      <c r="Y45" s="83"/>
    </row>
    <row r="46">
      <c r="B46" s="93"/>
      <c r="C46" s="83"/>
      <c r="D46" s="95"/>
      <c r="F46" s="97"/>
      <c r="G46" s="83"/>
      <c r="H46" s="98"/>
      <c r="I46" s="83"/>
      <c r="J46" s="100"/>
      <c r="K46" s="83"/>
      <c r="L46" s="101"/>
      <c r="M46" s="83"/>
      <c r="N46" s="95"/>
      <c r="O46" s="83"/>
      <c r="P46" s="132"/>
      <c r="Q46" s="83"/>
      <c r="R46" s="121"/>
      <c r="S46" s="114"/>
      <c r="T46" s="107"/>
      <c r="V46" s="103"/>
      <c r="W46" s="83"/>
      <c r="X46" s="83"/>
      <c r="Y46" s="83"/>
    </row>
    <row r="47">
      <c r="B47" s="93"/>
      <c r="C47" s="83"/>
      <c r="D47" s="95"/>
      <c r="E47" s="83"/>
      <c r="F47" s="97"/>
      <c r="G47" s="83"/>
      <c r="H47" s="98"/>
      <c r="I47" s="83"/>
      <c r="J47" s="100"/>
      <c r="K47" s="83"/>
      <c r="L47" s="101"/>
      <c r="M47" s="83"/>
      <c r="N47" s="95"/>
      <c r="O47" s="145"/>
      <c r="P47" s="132"/>
      <c r="Q47" s="83"/>
      <c r="R47" s="121"/>
      <c r="S47" s="114"/>
      <c r="T47" s="107"/>
      <c r="V47" s="103"/>
      <c r="W47" s="83"/>
      <c r="X47" s="83"/>
      <c r="Y47" s="83"/>
    </row>
    <row r="48">
      <c r="B48" s="93"/>
      <c r="C48" s="83"/>
      <c r="D48" s="95"/>
      <c r="E48" s="83"/>
      <c r="F48" s="97"/>
      <c r="G48" s="83"/>
      <c r="H48" s="98"/>
      <c r="I48" s="83"/>
      <c r="J48" s="100"/>
      <c r="K48" s="83"/>
      <c r="L48" s="101"/>
      <c r="M48" s="83"/>
      <c r="N48" s="95"/>
      <c r="P48" s="132"/>
      <c r="Q48" s="83"/>
      <c r="R48" s="121"/>
      <c r="S48" s="114"/>
      <c r="T48" s="107"/>
      <c r="V48" s="103"/>
      <c r="W48" s="83"/>
      <c r="X48" s="83"/>
      <c r="Y48" s="83"/>
    </row>
    <row r="49">
      <c r="B49" s="93"/>
      <c r="C49" s="83"/>
      <c r="D49" s="95"/>
      <c r="E49" s="83"/>
      <c r="F49" s="97"/>
      <c r="G49" s="83"/>
      <c r="H49" s="98"/>
      <c r="I49" s="83"/>
      <c r="J49" s="100"/>
      <c r="K49" s="83"/>
      <c r="L49" s="101"/>
      <c r="M49" s="83"/>
      <c r="N49" s="95"/>
      <c r="P49" s="132"/>
      <c r="Q49" s="83"/>
      <c r="R49" s="121"/>
      <c r="S49" s="114"/>
      <c r="T49" s="107"/>
      <c r="V49" s="103"/>
      <c r="W49" s="83"/>
      <c r="X49" s="83"/>
      <c r="Y49" s="83"/>
    </row>
    <row r="50">
      <c r="B50" s="93"/>
      <c r="C50" s="83"/>
      <c r="D50" s="95"/>
      <c r="E50" s="83"/>
      <c r="F50" s="97"/>
      <c r="G50" s="83"/>
      <c r="H50" s="98"/>
      <c r="I50" s="83"/>
      <c r="J50" s="100"/>
      <c r="K50" s="83"/>
      <c r="L50" s="101"/>
      <c r="M50" s="83"/>
      <c r="N50" s="95"/>
      <c r="O50" s="106"/>
      <c r="P50" s="132"/>
      <c r="Q50" s="83"/>
      <c r="R50" s="121"/>
      <c r="S50" s="114"/>
      <c r="T50" s="107"/>
      <c r="V50" s="103"/>
      <c r="W50" s="83"/>
      <c r="X50" s="83"/>
      <c r="Y50" s="83"/>
    </row>
    <row r="51">
      <c r="B51" s="93"/>
      <c r="C51" s="83"/>
      <c r="D51" s="95"/>
      <c r="E51" s="83"/>
      <c r="F51" s="97"/>
      <c r="G51" s="83"/>
      <c r="H51" s="98"/>
      <c r="I51" s="83"/>
      <c r="J51" s="100"/>
      <c r="K51" s="83"/>
      <c r="L51" s="101"/>
      <c r="M51" s="83"/>
      <c r="N51" s="95"/>
      <c r="P51" s="132"/>
      <c r="Q51" s="83"/>
      <c r="R51" s="121"/>
      <c r="S51" s="114"/>
      <c r="T51" s="107"/>
      <c r="V51" s="103"/>
      <c r="W51" s="83"/>
      <c r="X51" s="83"/>
      <c r="Y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121"/>
      <c r="S52" s="83"/>
      <c r="T52" s="107"/>
      <c r="V52" s="146"/>
      <c r="W52" s="83"/>
      <c r="X52" s="83"/>
      <c r="Y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121"/>
      <c r="S53" s="83"/>
      <c r="T53" s="107"/>
      <c r="V53" s="146"/>
      <c r="W53" s="83"/>
      <c r="X53" s="83"/>
      <c r="Y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121"/>
      <c r="S54" s="83"/>
      <c r="T54" s="107"/>
      <c r="U54" s="83"/>
      <c r="V54" s="146"/>
      <c r="W54" s="83"/>
      <c r="X54" s="83"/>
      <c r="Y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121"/>
      <c r="S55" s="83"/>
      <c r="T55" s="107"/>
      <c r="U55" s="83"/>
      <c r="V55" s="146"/>
      <c r="W55" s="83"/>
      <c r="X55" s="83"/>
      <c r="Y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121"/>
      <c r="S56" s="83"/>
      <c r="T56" s="107"/>
      <c r="U56" s="83"/>
      <c r="V56" s="146"/>
      <c r="W56" s="83"/>
      <c r="X56" s="83"/>
      <c r="Y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121"/>
      <c r="S57" s="83"/>
      <c r="T57" s="107"/>
      <c r="U57" s="83"/>
      <c r="V57" s="146"/>
      <c r="W57" s="83"/>
      <c r="X57" s="83"/>
      <c r="Y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121"/>
      <c r="S58" s="83"/>
      <c r="T58" s="107"/>
      <c r="U58" s="83"/>
      <c r="V58" s="146"/>
      <c r="W58" s="83"/>
      <c r="X58" s="83"/>
      <c r="Y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121"/>
      <c r="S59" s="83"/>
      <c r="T59" s="107"/>
      <c r="U59" s="83"/>
      <c r="V59" s="146"/>
      <c r="W59" s="83"/>
      <c r="X59" s="83"/>
      <c r="Y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121"/>
      <c r="S60" s="83"/>
      <c r="T60" s="107"/>
      <c r="U60" s="83"/>
      <c r="V60" s="146"/>
      <c r="W60" s="83"/>
      <c r="X60" s="83"/>
      <c r="Y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121"/>
      <c r="S61" s="83"/>
      <c r="T61" s="107"/>
      <c r="U61" s="83"/>
      <c r="V61" s="146"/>
      <c r="W61" s="83"/>
      <c r="X61" s="83"/>
      <c r="Y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121"/>
      <c r="S62" s="83"/>
      <c r="T62" s="107"/>
      <c r="U62" s="83"/>
      <c r="V62" s="146"/>
      <c r="W62" s="83"/>
      <c r="X62" s="83"/>
      <c r="Y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121"/>
      <c r="S63" s="83"/>
      <c r="T63" s="107"/>
      <c r="U63" s="83"/>
      <c r="V63" s="146"/>
      <c r="W63" s="83"/>
      <c r="X63" s="83"/>
      <c r="Y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121"/>
      <c r="S64" s="83"/>
      <c r="T64" s="107"/>
      <c r="U64" s="83"/>
      <c r="V64" s="146"/>
      <c r="W64" s="83"/>
      <c r="X64" s="83"/>
      <c r="Y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121"/>
      <c r="S65" s="83"/>
      <c r="T65" s="107"/>
      <c r="U65" s="83"/>
      <c r="V65" s="146"/>
      <c r="W65" s="83"/>
      <c r="X65" s="83"/>
      <c r="Y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121"/>
      <c r="S66" s="83"/>
      <c r="T66" s="107"/>
      <c r="U66" s="83"/>
      <c r="V66" s="146"/>
      <c r="W66" s="83"/>
      <c r="X66" s="83"/>
      <c r="Y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121"/>
      <c r="S67" s="83"/>
      <c r="T67" s="107"/>
      <c r="U67" s="83"/>
      <c r="V67" s="146"/>
      <c r="W67" s="83"/>
      <c r="X67" s="83"/>
      <c r="Y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121"/>
      <c r="S68" s="83"/>
      <c r="T68" s="107"/>
      <c r="U68" s="83"/>
      <c r="V68" s="146"/>
      <c r="W68" s="83"/>
      <c r="X68" s="83"/>
      <c r="Y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121"/>
      <c r="S69" s="83"/>
      <c r="T69" s="107"/>
      <c r="U69" s="83"/>
      <c r="V69" s="146"/>
      <c r="W69" s="83"/>
      <c r="X69" s="83"/>
      <c r="Y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121"/>
      <c r="S70" s="83"/>
      <c r="T70" s="107"/>
      <c r="U70" s="83"/>
      <c r="V70" s="146"/>
      <c r="W70" s="83"/>
      <c r="X70" s="83"/>
      <c r="Y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121"/>
      <c r="S71" s="83"/>
      <c r="T71" s="107"/>
      <c r="U71" s="83"/>
      <c r="V71" s="146"/>
      <c r="W71" s="83"/>
      <c r="X71" s="83"/>
      <c r="Y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121"/>
      <c r="S72" s="83"/>
      <c r="T72" s="107"/>
      <c r="U72" s="83"/>
      <c r="V72" s="146"/>
      <c r="W72" s="83"/>
      <c r="X72" s="83"/>
      <c r="Y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121"/>
      <c r="S73" s="83"/>
      <c r="T73" s="107"/>
      <c r="U73" s="83"/>
      <c r="V73" s="146"/>
      <c r="W73" s="83"/>
      <c r="X73" s="83"/>
      <c r="Y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121"/>
      <c r="S74" s="83"/>
      <c r="T74" s="107"/>
      <c r="U74" s="83"/>
      <c r="V74" s="146"/>
      <c r="W74" s="83"/>
      <c r="X74" s="83"/>
      <c r="Y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121"/>
      <c r="S75" s="83"/>
      <c r="T75" s="107"/>
      <c r="U75" s="83"/>
      <c r="V75" s="146"/>
      <c r="W75" s="83"/>
      <c r="X75" s="83"/>
      <c r="Y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121"/>
      <c r="S76" s="83"/>
      <c r="T76" s="107"/>
      <c r="U76" s="83"/>
      <c r="V76" s="146"/>
      <c r="W76" s="83"/>
      <c r="X76" s="83"/>
      <c r="Y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121"/>
      <c r="S77" s="83"/>
      <c r="T77" s="107"/>
      <c r="U77" s="83"/>
      <c r="V77" s="146"/>
      <c r="W77" s="83"/>
      <c r="X77" s="83"/>
      <c r="Y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121"/>
      <c r="S78" s="83"/>
      <c r="T78" s="107"/>
      <c r="U78" s="83"/>
      <c r="V78" s="146"/>
      <c r="W78" s="83"/>
      <c r="X78" s="83"/>
      <c r="Y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121"/>
      <c r="S79" s="83"/>
      <c r="T79" s="107"/>
      <c r="U79" s="83"/>
      <c r="V79" s="146"/>
      <c r="W79" s="83"/>
      <c r="X79" s="83"/>
      <c r="Y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121"/>
      <c r="S80" s="83"/>
      <c r="T80" s="107"/>
      <c r="U80" s="83"/>
      <c r="V80" s="146"/>
      <c r="W80" s="83"/>
      <c r="X80" s="83"/>
      <c r="Y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121"/>
      <c r="S81" s="83"/>
      <c r="T81" s="107"/>
      <c r="U81" s="83"/>
      <c r="V81" s="146"/>
      <c r="W81" s="83"/>
      <c r="X81" s="83"/>
      <c r="Y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121"/>
      <c r="S82" s="83"/>
      <c r="T82" s="107"/>
      <c r="U82" s="83"/>
      <c r="V82" s="146"/>
      <c r="W82" s="83"/>
      <c r="X82" s="83"/>
      <c r="Y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121"/>
      <c r="S83" s="83"/>
      <c r="T83" s="107"/>
      <c r="U83" s="83"/>
      <c r="V83" s="146"/>
      <c r="W83" s="83"/>
      <c r="X83" s="83"/>
      <c r="Y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121"/>
      <c r="S84" s="83"/>
      <c r="T84" s="107"/>
      <c r="U84" s="83"/>
      <c r="V84" s="146"/>
      <c r="W84" s="83"/>
      <c r="X84" s="83"/>
      <c r="Y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121"/>
      <c r="S85" s="83"/>
      <c r="T85" s="107"/>
      <c r="U85" s="83"/>
      <c r="V85" s="146"/>
      <c r="W85" s="83"/>
      <c r="X85" s="83"/>
      <c r="Y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121"/>
      <c r="S86" s="83"/>
      <c r="T86" s="107"/>
      <c r="U86" s="83"/>
      <c r="V86" s="146"/>
      <c r="W86" s="83"/>
      <c r="X86" s="83"/>
      <c r="Y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121"/>
      <c r="S87" s="83"/>
      <c r="T87" s="107"/>
      <c r="U87" s="83"/>
      <c r="V87" s="146"/>
      <c r="W87" s="83"/>
      <c r="X87" s="83"/>
      <c r="Y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121"/>
      <c r="S88" s="83"/>
      <c r="T88" s="107"/>
      <c r="U88" s="83"/>
      <c r="V88" s="146"/>
      <c r="W88" s="83"/>
      <c r="X88" s="83"/>
      <c r="Y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121"/>
      <c r="S89" s="83"/>
      <c r="T89" s="107"/>
      <c r="U89" s="83"/>
      <c r="V89" s="146"/>
      <c r="W89" s="83"/>
      <c r="X89" s="83"/>
      <c r="Y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121"/>
      <c r="S90" s="83"/>
      <c r="T90" s="107"/>
      <c r="U90" s="83"/>
      <c r="V90" s="146"/>
      <c r="W90" s="83"/>
      <c r="X90" s="83"/>
      <c r="Y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121"/>
      <c r="S91" s="83"/>
      <c r="T91" s="107"/>
      <c r="U91" s="83"/>
      <c r="V91" s="146"/>
      <c r="W91" s="83"/>
      <c r="X91" s="83"/>
      <c r="Y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121"/>
      <c r="S92" s="83"/>
      <c r="T92" s="107"/>
      <c r="U92" s="83"/>
      <c r="V92" s="146"/>
      <c r="W92" s="83"/>
      <c r="X92" s="83"/>
      <c r="Y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121"/>
      <c r="S93" s="83"/>
      <c r="T93" s="107"/>
      <c r="U93" s="83"/>
      <c r="V93" s="146"/>
      <c r="W93" s="83"/>
      <c r="X93" s="83"/>
      <c r="Y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121"/>
      <c r="S94" s="83"/>
      <c r="T94" s="107"/>
      <c r="U94" s="83"/>
      <c r="V94" s="146"/>
      <c r="W94" s="83"/>
      <c r="X94" s="83"/>
      <c r="Y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121"/>
      <c r="S95" s="83"/>
      <c r="T95" s="107"/>
      <c r="U95" s="83"/>
      <c r="V95" s="146"/>
      <c r="W95" s="83"/>
      <c r="X95" s="83"/>
      <c r="Y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121"/>
      <c r="S96" s="83"/>
      <c r="T96" s="107"/>
      <c r="U96" s="83"/>
      <c r="V96" s="146"/>
      <c r="W96" s="83"/>
      <c r="X96" s="83"/>
      <c r="Y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121"/>
      <c r="S97" s="83"/>
      <c r="T97" s="107"/>
      <c r="U97" s="83"/>
      <c r="V97" s="146"/>
      <c r="W97" s="83"/>
      <c r="X97" s="83"/>
      <c r="Y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121"/>
      <c r="S98" s="83"/>
      <c r="T98" s="107"/>
      <c r="U98" s="83"/>
      <c r="V98" s="146"/>
      <c r="W98" s="83"/>
      <c r="X98" s="83"/>
      <c r="Y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121"/>
      <c r="S99" s="83"/>
      <c r="T99" s="107"/>
      <c r="U99" s="83"/>
      <c r="V99" s="146"/>
      <c r="W99" s="83"/>
      <c r="X99" s="83"/>
      <c r="Y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121"/>
      <c r="S100" s="83"/>
      <c r="T100" s="107"/>
      <c r="U100" s="83"/>
      <c r="V100" s="146"/>
      <c r="W100" s="83"/>
      <c r="X100" s="83"/>
      <c r="Y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121"/>
      <c r="S101" s="83"/>
      <c r="T101" s="107"/>
      <c r="U101" s="83"/>
      <c r="V101" s="146"/>
      <c r="W101" s="83"/>
      <c r="X101" s="83"/>
      <c r="Y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121"/>
      <c r="S102" s="83"/>
      <c r="T102" s="107"/>
      <c r="U102" s="83"/>
      <c r="V102" s="146"/>
      <c r="W102" s="83"/>
      <c r="X102" s="83"/>
      <c r="Y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121"/>
      <c r="S103" s="83"/>
      <c r="T103" s="107"/>
      <c r="U103" s="83"/>
      <c r="V103" s="146"/>
      <c r="W103" s="83"/>
      <c r="X103" s="83"/>
      <c r="Y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121"/>
      <c r="S104" s="83"/>
      <c r="T104" s="107"/>
      <c r="U104" s="83"/>
      <c r="V104" s="146"/>
      <c r="W104" s="83"/>
      <c r="X104" s="83"/>
      <c r="Y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121"/>
      <c r="S105" s="83"/>
      <c r="T105" s="107"/>
      <c r="U105" s="83"/>
      <c r="V105" s="146"/>
      <c r="W105" s="83"/>
      <c r="X105" s="83"/>
      <c r="Y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121"/>
      <c r="S106" s="83"/>
      <c r="T106" s="107"/>
      <c r="U106" s="83"/>
      <c r="V106" s="146"/>
      <c r="W106" s="83"/>
      <c r="X106" s="83"/>
      <c r="Y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121"/>
      <c r="S107" s="83"/>
      <c r="T107" s="107"/>
      <c r="U107" s="83"/>
      <c r="V107" s="146"/>
      <c r="W107" s="83"/>
      <c r="X107" s="83"/>
      <c r="Y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121"/>
      <c r="S108" s="83"/>
      <c r="T108" s="107"/>
      <c r="U108" s="83"/>
      <c r="V108" s="146"/>
      <c r="W108" s="83"/>
      <c r="X108" s="83"/>
      <c r="Y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121"/>
      <c r="S109" s="83"/>
      <c r="T109" s="107"/>
      <c r="U109" s="83"/>
      <c r="V109" s="146"/>
      <c r="W109" s="83"/>
      <c r="X109" s="83"/>
      <c r="Y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121"/>
      <c r="S110" s="83"/>
      <c r="T110" s="107"/>
      <c r="U110" s="83"/>
      <c r="V110" s="146"/>
      <c r="W110" s="83"/>
      <c r="X110" s="83"/>
      <c r="Y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121"/>
      <c r="S111" s="83"/>
      <c r="T111" s="107"/>
      <c r="U111" s="83"/>
      <c r="V111" s="146"/>
      <c r="W111" s="83"/>
      <c r="X111" s="83"/>
      <c r="Y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121"/>
      <c r="S112" s="83"/>
      <c r="T112" s="107"/>
      <c r="U112" s="83"/>
      <c r="V112" s="146"/>
      <c r="W112" s="83"/>
      <c r="X112" s="83"/>
      <c r="Y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121"/>
      <c r="S113" s="83"/>
      <c r="T113" s="107"/>
      <c r="U113" s="83"/>
      <c r="V113" s="146"/>
      <c r="W113" s="83"/>
      <c r="X113" s="83"/>
      <c r="Y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121"/>
      <c r="S114" s="83"/>
      <c r="T114" s="107"/>
      <c r="U114" s="83"/>
      <c r="V114" s="146"/>
      <c r="W114" s="83"/>
      <c r="X114" s="83"/>
      <c r="Y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121"/>
      <c r="S115" s="83"/>
      <c r="T115" s="107"/>
      <c r="U115" s="83"/>
      <c r="V115" s="146"/>
      <c r="W115" s="83"/>
      <c r="X115" s="83"/>
      <c r="Y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121"/>
      <c r="S116" s="83"/>
      <c r="T116" s="107"/>
      <c r="U116" s="83"/>
      <c r="V116" s="146"/>
      <c r="W116" s="83"/>
      <c r="X116" s="83"/>
      <c r="Y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121"/>
      <c r="S117" s="83"/>
      <c r="T117" s="107"/>
      <c r="U117" s="83"/>
      <c r="V117" s="146"/>
      <c r="W117" s="83"/>
      <c r="X117" s="83"/>
      <c r="Y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121"/>
      <c r="S118" s="83"/>
      <c r="T118" s="107"/>
      <c r="U118" s="83"/>
      <c r="V118" s="146"/>
      <c r="W118" s="83"/>
      <c r="X118" s="83"/>
      <c r="Y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121"/>
      <c r="S119" s="83"/>
      <c r="T119" s="107"/>
      <c r="U119" s="83"/>
      <c r="V119" s="146"/>
      <c r="W119" s="83"/>
      <c r="X119" s="83"/>
      <c r="Y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121"/>
      <c r="S120" s="83"/>
      <c r="T120" s="107"/>
      <c r="U120" s="83"/>
      <c r="V120" s="146"/>
      <c r="W120" s="83"/>
      <c r="X120" s="83"/>
      <c r="Y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121"/>
      <c r="S121" s="83"/>
      <c r="T121" s="107"/>
      <c r="U121" s="83"/>
      <c r="V121" s="146"/>
      <c r="W121" s="83"/>
      <c r="X121" s="83"/>
      <c r="Y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121"/>
      <c r="S122" s="83"/>
      <c r="T122" s="107"/>
      <c r="U122" s="83"/>
      <c r="V122" s="146"/>
      <c r="W122" s="83"/>
      <c r="X122" s="83"/>
      <c r="Y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121"/>
      <c r="S123" s="83"/>
      <c r="T123" s="107"/>
      <c r="U123" s="83"/>
      <c r="V123" s="146"/>
      <c r="W123" s="83"/>
      <c r="X123" s="83"/>
      <c r="Y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121"/>
      <c r="S124" s="83"/>
      <c r="T124" s="107"/>
      <c r="U124" s="83"/>
      <c r="V124" s="146"/>
      <c r="W124" s="83"/>
      <c r="X124" s="83"/>
      <c r="Y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121"/>
      <c r="S125" s="83"/>
      <c r="T125" s="107"/>
      <c r="U125" s="83"/>
      <c r="V125" s="146"/>
      <c r="W125" s="83"/>
      <c r="X125" s="83"/>
      <c r="Y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121"/>
      <c r="S126" s="83"/>
      <c r="T126" s="107"/>
      <c r="U126" s="83"/>
      <c r="V126" s="146"/>
      <c r="W126" s="83"/>
      <c r="X126" s="83"/>
      <c r="Y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121"/>
      <c r="S127" s="83"/>
      <c r="T127" s="107"/>
      <c r="U127" s="83"/>
      <c r="V127" s="146"/>
      <c r="W127" s="83"/>
      <c r="X127" s="83"/>
      <c r="Y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121"/>
      <c r="S128" s="83"/>
      <c r="T128" s="107"/>
      <c r="U128" s="83"/>
      <c r="V128" s="146"/>
      <c r="W128" s="83"/>
      <c r="X128" s="83"/>
      <c r="Y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121"/>
      <c r="S129" s="83"/>
      <c r="T129" s="107"/>
      <c r="U129" s="83"/>
      <c r="V129" s="146"/>
      <c r="W129" s="83"/>
      <c r="X129" s="83"/>
      <c r="Y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121"/>
      <c r="S130" s="83"/>
      <c r="T130" s="107"/>
      <c r="U130" s="83"/>
      <c r="V130" s="146"/>
      <c r="W130" s="83"/>
      <c r="X130" s="83"/>
      <c r="Y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121"/>
      <c r="S131" s="83"/>
      <c r="T131" s="107"/>
      <c r="U131" s="83"/>
      <c r="V131" s="146"/>
      <c r="W131" s="83"/>
      <c r="X131" s="83"/>
      <c r="Y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121"/>
      <c r="S132" s="83"/>
      <c r="T132" s="107"/>
      <c r="U132" s="83"/>
      <c r="V132" s="146"/>
      <c r="W132" s="83"/>
      <c r="X132" s="83"/>
      <c r="Y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121"/>
      <c r="S133" s="83"/>
      <c r="T133" s="107"/>
      <c r="U133" s="83"/>
      <c r="V133" s="146"/>
      <c r="W133" s="83"/>
      <c r="X133" s="83"/>
      <c r="Y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121"/>
      <c r="S134" s="83"/>
      <c r="T134" s="107"/>
      <c r="U134" s="83"/>
      <c r="V134" s="146"/>
      <c r="W134" s="83"/>
      <c r="X134" s="83"/>
      <c r="Y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121"/>
      <c r="S135" s="83"/>
      <c r="T135" s="107"/>
      <c r="U135" s="83"/>
      <c r="V135" s="146"/>
      <c r="W135" s="83"/>
      <c r="X135" s="83"/>
      <c r="Y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121"/>
      <c r="S136" s="83"/>
      <c r="T136" s="107"/>
      <c r="U136" s="83"/>
      <c r="V136" s="146"/>
      <c r="W136" s="83"/>
      <c r="X136" s="83"/>
      <c r="Y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121"/>
      <c r="S137" s="83"/>
      <c r="T137" s="107"/>
      <c r="U137" s="83"/>
      <c r="V137" s="146"/>
      <c r="W137" s="83"/>
      <c r="X137" s="83"/>
      <c r="Y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121"/>
      <c r="S138" s="83"/>
      <c r="T138" s="107"/>
      <c r="U138" s="83"/>
      <c r="V138" s="146"/>
      <c r="W138" s="83"/>
      <c r="X138" s="83"/>
      <c r="Y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121"/>
      <c r="S139" s="83"/>
      <c r="T139" s="107"/>
      <c r="U139" s="83"/>
      <c r="V139" s="146"/>
      <c r="W139" s="83"/>
      <c r="X139" s="83"/>
      <c r="Y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121"/>
      <c r="S140" s="83"/>
      <c r="T140" s="107"/>
      <c r="U140" s="83"/>
      <c r="V140" s="146"/>
      <c r="W140" s="83"/>
      <c r="X140" s="83"/>
      <c r="Y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121"/>
      <c r="S141" s="83"/>
      <c r="T141" s="107"/>
      <c r="U141" s="83"/>
      <c r="V141" s="146"/>
      <c r="W141" s="83"/>
      <c r="X141" s="83"/>
      <c r="Y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121"/>
      <c r="S142" s="83"/>
      <c r="T142" s="107"/>
      <c r="U142" s="83"/>
      <c r="V142" s="146"/>
      <c r="W142" s="83"/>
      <c r="X142" s="83"/>
      <c r="Y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121"/>
      <c r="S143" s="83"/>
      <c r="T143" s="107"/>
      <c r="U143" s="83"/>
      <c r="V143" s="146"/>
      <c r="W143" s="83"/>
      <c r="X143" s="83"/>
      <c r="Y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121"/>
      <c r="S144" s="83"/>
      <c r="T144" s="107"/>
      <c r="U144" s="83"/>
      <c r="V144" s="146"/>
      <c r="W144" s="83"/>
      <c r="X144" s="83"/>
      <c r="Y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121"/>
      <c r="S145" s="83"/>
      <c r="T145" s="107"/>
      <c r="U145" s="83"/>
      <c r="V145" s="146"/>
      <c r="W145" s="83"/>
      <c r="X145" s="83"/>
      <c r="Y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121"/>
      <c r="S146" s="83"/>
      <c r="T146" s="107"/>
      <c r="U146" s="83"/>
      <c r="V146" s="146"/>
      <c r="W146" s="83"/>
      <c r="X146" s="83"/>
      <c r="Y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121"/>
      <c r="S147" s="83"/>
      <c r="T147" s="107"/>
      <c r="U147" s="83"/>
      <c r="V147" s="146"/>
      <c r="W147" s="83"/>
      <c r="X147" s="83"/>
      <c r="Y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121"/>
      <c r="S148" s="83"/>
      <c r="T148" s="107"/>
      <c r="U148" s="83"/>
      <c r="V148" s="146"/>
      <c r="W148" s="83"/>
      <c r="X148" s="83"/>
      <c r="Y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121"/>
      <c r="S149" s="83"/>
      <c r="T149" s="107"/>
      <c r="U149" s="83"/>
      <c r="V149" s="146"/>
      <c r="W149" s="83"/>
      <c r="X149" s="83"/>
      <c r="Y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121"/>
      <c r="S150" s="83"/>
      <c r="T150" s="107"/>
      <c r="U150" s="83"/>
      <c r="V150" s="146"/>
      <c r="W150" s="83"/>
      <c r="X150" s="83"/>
      <c r="Y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121"/>
      <c r="S151" s="83"/>
      <c r="T151" s="107"/>
      <c r="U151" s="83"/>
      <c r="V151" s="146"/>
      <c r="W151" s="83"/>
      <c r="X151" s="83"/>
      <c r="Y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121"/>
      <c r="S152" s="83"/>
      <c r="T152" s="107"/>
      <c r="U152" s="83"/>
      <c r="V152" s="146"/>
      <c r="W152" s="83"/>
      <c r="X152" s="83"/>
      <c r="Y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121"/>
      <c r="S153" s="83"/>
      <c r="T153" s="107"/>
      <c r="U153" s="83"/>
      <c r="V153" s="146"/>
      <c r="W153" s="83"/>
      <c r="X153" s="83"/>
      <c r="Y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121"/>
      <c r="S154" s="83"/>
      <c r="T154" s="107"/>
      <c r="U154" s="83"/>
      <c r="V154" s="146"/>
      <c r="W154" s="83"/>
      <c r="X154" s="83"/>
      <c r="Y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121"/>
      <c r="S155" s="83"/>
      <c r="T155" s="107"/>
      <c r="U155" s="83"/>
      <c r="V155" s="146"/>
      <c r="W155" s="83"/>
      <c r="X155" s="83"/>
      <c r="Y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121"/>
      <c r="S156" s="83"/>
      <c r="T156" s="107"/>
      <c r="U156" s="83"/>
      <c r="V156" s="146"/>
      <c r="W156" s="83"/>
      <c r="X156" s="83"/>
      <c r="Y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121"/>
      <c r="S157" s="83"/>
      <c r="T157" s="107"/>
      <c r="U157" s="83"/>
      <c r="V157" s="146"/>
      <c r="W157" s="83"/>
      <c r="X157" s="83"/>
      <c r="Y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121"/>
      <c r="S158" s="83"/>
      <c r="T158" s="107"/>
      <c r="U158" s="83"/>
      <c r="V158" s="146"/>
      <c r="W158" s="83"/>
      <c r="X158" s="83"/>
      <c r="Y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121"/>
      <c r="S159" s="83"/>
      <c r="T159" s="107"/>
      <c r="U159" s="83"/>
      <c r="V159" s="146"/>
      <c r="W159" s="83"/>
      <c r="X159" s="83"/>
      <c r="Y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121"/>
      <c r="S160" s="83"/>
      <c r="T160" s="107"/>
      <c r="U160" s="83"/>
      <c r="V160" s="146"/>
      <c r="W160" s="83"/>
      <c r="X160" s="83"/>
      <c r="Y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121"/>
      <c r="S161" s="83"/>
      <c r="T161" s="107"/>
      <c r="U161" s="83"/>
      <c r="V161" s="146"/>
      <c r="W161" s="83"/>
      <c r="X161" s="83"/>
      <c r="Y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121"/>
      <c r="S162" s="83"/>
      <c r="T162" s="107"/>
      <c r="U162" s="83"/>
      <c r="V162" s="146"/>
      <c r="W162" s="83"/>
      <c r="X162" s="83"/>
      <c r="Y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121"/>
      <c r="S163" s="83"/>
      <c r="T163" s="107"/>
      <c r="U163" s="83"/>
      <c r="V163" s="146"/>
      <c r="W163" s="83"/>
      <c r="X163" s="83"/>
      <c r="Y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121"/>
      <c r="S164" s="83"/>
      <c r="T164" s="107"/>
      <c r="U164" s="83"/>
      <c r="V164" s="146"/>
      <c r="W164" s="83"/>
      <c r="X164" s="83"/>
      <c r="Y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121"/>
      <c r="S165" s="83"/>
      <c r="T165" s="107"/>
      <c r="U165" s="83"/>
      <c r="V165" s="146"/>
      <c r="W165" s="83"/>
      <c r="X165" s="83"/>
      <c r="Y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121"/>
      <c r="S166" s="83"/>
      <c r="T166" s="107"/>
      <c r="U166" s="83"/>
      <c r="V166" s="146"/>
      <c r="W166" s="83"/>
      <c r="X166" s="83"/>
      <c r="Y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121"/>
      <c r="S167" s="83"/>
      <c r="T167" s="107"/>
      <c r="U167" s="83"/>
      <c r="V167" s="146"/>
      <c r="W167" s="83"/>
      <c r="X167" s="83"/>
      <c r="Y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121"/>
      <c r="S168" s="83"/>
      <c r="T168" s="107"/>
      <c r="U168" s="83"/>
      <c r="V168" s="146"/>
      <c r="W168" s="83"/>
      <c r="X168" s="83"/>
      <c r="Y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121"/>
      <c r="S169" s="83"/>
      <c r="T169" s="107"/>
      <c r="U169" s="83"/>
      <c r="V169" s="146"/>
      <c r="W169" s="83"/>
      <c r="X169" s="83"/>
      <c r="Y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121"/>
      <c r="S170" s="83"/>
      <c r="T170" s="107"/>
      <c r="U170" s="83"/>
      <c r="V170" s="146"/>
      <c r="W170" s="83"/>
      <c r="X170" s="83"/>
      <c r="Y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121"/>
      <c r="S171" s="83"/>
      <c r="T171" s="107"/>
      <c r="U171" s="83"/>
      <c r="V171" s="146"/>
      <c r="W171" s="83"/>
      <c r="X171" s="83"/>
      <c r="Y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121"/>
      <c r="S172" s="83"/>
      <c r="T172" s="107"/>
      <c r="U172" s="83"/>
      <c r="V172" s="146"/>
      <c r="W172" s="83"/>
      <c r="X172" s="83"/>
      <c r="Y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121"/>
      <c r="S173" s="83"/>
      <c r="T173" s="107"/>
      <c r="U173" s="83"/>
      <c r="V173" s="146"/>
      <c r="W173" s="83"/>
      <c r="X173" s="83"/>
      <c r="Y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121"/>
      <c r="S174" s="83"/>
      <c r="T174" s="107"/>
      <c r="U174" s="83"/>
      <c r="V174" s="146"/>
      <c r="W174" s="83"/>
      <c r="X174" s="83"/>
      <c r="Y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121"/>
      <c r="S175" s="83"/>
      <c r="T175" s="107"/>
      <c r="U175" s="83"/>
      <c r="V175" s="146"/>
      <c r="W175" s="83"/>
      <c r="X175" s="83"/>
      <c r="Y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121"/>
      <c r="S176" s="83"/>
      <c r="T176" s="107"/>
      <c r="U176" s="83"/>
      <c r="V176" s="146"/>
      <c r="W176" s="83"/>
      <c r="X176" s="83"/>
      <c r="Y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121"/>
      <c r="S177" s="83"/>
      <c r="T177" s="107"/>
      <c r="U177" s="83"/>
      <c r="V177" s="146"/>
      <c r="W177" s="83"/>
      <c r="X177" s="83"/>
      <c r="Y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121"/>
      <c r="S178" s="83"/>
      <c r="T178" s="107"/>
      <c r="U178" s="83"/>
      <c r="V178" s="146"/>
      <c r="W178" s="83"/>
      <c r="X178" s="83"/>
      <c r="Y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121"/>
      <c r="S179" s="83"/>
      <c r="T179" s="107"/>
      <c r="U179" s="83"/>
      <c r="V179" s="146"/>
      <c r="W179" s="83"/>
      <c r="X179" s="83"/>
      <c r="Y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121"/>
      <c r="S180" s="83"/>
      <c r="T180" s="107"/>
      <c r="U180" s="83"/>
      <c r="V180" s="146"/>
      <c r="W180" s="83"/>
      <c r="X180" s="83"/>
      <c r="Y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121"/>
      <c r="S181" s="83"/>
      <c r="T181" s="107"/>
      <c r="U181" s="83"/>
      <c r="V181" s="146"/>
      <c r="W181" s="83"/>
      <c r="X181" s="83"/>
      <c r="Y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121"/>
      <c r="S182" s="83"/>
      <c r="T182" s="107"/>
      <c r="U182" s="83"/>
      <c r="V182" s="146"/>
      <c r="W182" s="83"/>
      <c r="X182" s="83"/>
      <c r="Y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121"/>
      <c r="S183" s="83"/>
      <c r="T183" s="107"/>
      <c r="U183" s="83"/>
      <c r="V183" s="146"/>
      <c r="W183" s="83"/>
      <c r="X183" s="83"/>
      <c r="Y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121"/>
      <c r="S184" s="83"/>
      <c r="T184" s="107"/>
      <c r="U184" s="83"/>
      <c r="V184" s="146"/>
      <c r="W184" s="83"/>
      <c r="X184" s="83"/>
      <c r="Y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121"/>
      <c r="S185" s="83"/>
      <c r="T185" s="107"/>
      <c r="U185" s="83"/>
      <c r="V185" s="146"/>
      <c r="W185" s="83"/>
      <c r="X185" s="83"/>
      <c r="Y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121"/>
      <c r="S186" s="83"/>
      <c r="T186" s="107"/>
      <c r="U186" s="83"/>
      <c r="V186" s="146"/>
      <c r="W186" s="83"/>
      <c r="X186" s="83"/>
      <c r="Y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121"/>
      <c r="S187" s="83"/>
      <c r="T187" s="107"/>
      <c r="U187" s="83"/>
      <c r="V187" s="146"/>
      <c r="W187" s="83"/>
      <c r="X187" s="83"/>
      <c r="Y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121"/>
      <c r="S188" s="83"/>
      <c r="T188" s="107"/>
      <c r="U188" s="83"/>
      <c r="V188" s="146"/>
      <c r="W188" s="83"/>
      <c r="X188" s="83"/>
      <c r="Y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121"/>
      <c r="S189" s="83"/>
      <c r="T189" s="107"/>
      <c r="U189" s="83"/>
      <c r="V189" s="146"/>
      <c r="W189" s="83"/>
      <c r="X189" s="83"/>
      <c r="Y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121"/>
      <c r="S190" s="83"/>
      <c r="T190" s="107"/>
      <c r="U190" s="83"/>
      <c r="V190" s="146"/>
      <c r="W190" s="83"/>
      <c r="X190" s="83"/>
      <c r="Y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121"/>
      <c r="S191" s="83"/>
      <c r="T191" s="107"/>
      <c r="U191" s="83"/>
      <c r="V191" s="146"/>
      <c r="W191" s="83"/>
      <c r="X191" s="83"/>
      <c r="Y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121"/>
      <c r="S192" s="83"/>
      <c r="T192" s="107"/>
      <c r="U192" s="83"/>
      <c r="V192" s="146"/>
      <c r="W192" s="83"/>
      <c r="X192" s="83"/>
      <c r="Y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121"/>
      <c r="S193" s="83"/>
      <c r="T193" s="107"/>
      <c r="U193" s="83"/>
      <c r="V193" s="146"/>
      <c r="W193" s="83"/>
      <c r="X193" s="83"/>
      <c r="Y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121"/>
      <c r="S194" s="83"/>
      <c r="T194" s="107"/>
      <c r="U194" s="83"/>
      <c r="V194" s="146"/>
      <c r="W194" s="83"/>
      <c r="X194" s="83"/>
      <c r="Y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121"/>
      <c r="S195" s="83"/>
      <c r="T195" s="107"/>
      <c r="U195" s="83"/>
      <c r="V195" s="146"/>
      <c r="W195" s="83"/>
      <c r="X195" s="83"/>
      <c r="Y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121"/>
      <c r="S196" s="83"/>
      <c r="T196" s="107"/>
      <c r="U196" s="83"/>
      <c r="V196" s="146"/>
      <c r="W196" s="83"/>
      <c r="X196" s="83"/>
      <c r="Y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121"/>
      <c r="S197" s="83"/>
      <c r="T197" s="107"/>
      <c r="U197" s="83"/>
      <c r="V197" s="146"/>
      <c r="W197" s="83"/>
      <c r="X197" s="83"/>
      <c r="Y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121"/>
      <c r="S198" s="83"/>
      <c r="T198" s="107"/>
      <c r="U198" s="83"/>
      <c r="V198" s="146"/>
      <c r="W198" s="83"/>
      <c r="X198" s="83"/>
      <c r="Y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121"/>
      <c r="S199" s="83"/>
      <c r="T199" s="107"/>
      <c r="U199" s="83"/>
      <c r="V199" s="146"/>
      <c r="W199" s="83"/>
      <c r="X199" s="83"/>
      <c r="Y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121"/>
      <c r="S200" s="83"/>
      <c r="T200" s="107"/>
      <c r="U200" s="83"/>
      <c r="V200" s="146"/>
      <c r="W200" s="83"/>
      <c r="X200" s="83"/>
      <c r="Y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121"/>
      <c r="S201" s="83"/>
      <c r="T201" s="107"/>
      <c r="U201" s="83"/>
      <c r="V201" s="146"/>
      <c r="W201" s="83"/>
      <c r="X201" s="83"/>
      <c r="Y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121"/>
      <c r="S202" s="83"/>
      <c r="T202" s="107"/>
      <c r="U202" s="83"/>
      <c r="V202" s="146"/>
      <c r="W202" s="83"/>
      <c r="X202" s="83"/>
      <c r="Y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121"/>
      <c r="S203" s="83"/>
      <c r="T203" s="107"/>
      <c r="U203" s="83"/>
      <c r="V203" s="146"/>
      <c r="W203" s="83"/>
      <c r="X203" s="83"/>
      <c r="Y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121"/>
      <c r="S204" s="83"/>
      <c r="T204" s="107"/>
      <c r="U204" s="83"/>
      <c r="V204" s="146"/>
      <c r="W204" s="83"/>
      <c r="X204" s="83"/>
      <c r="Y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121"/>
      <c r="S205" s="83"/>
      <c r="T205" s="107"/>
      <c r="U205" s="83"/>
      <c r="V205" s="146"/>
      <c r="W205" s="83"/>
      <c r="X205" s="83"/>
      <c r="Y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121"/>
      <c r="S206" s="83"/>
      <c r="T206" s="107"/>
      <c r="U206" s="83"/>
      <c r="V206" s="146"/>
      <c r="W206" s="83"/>
      <c r="X206" s="83"/>
      <c r="Y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121"/>
      <c r="S207" s="83"/>
      <c r="T207" s="107"/>
      <c r="U207" s="83"/>
      <c r="V207" s="146"/>
      <c r="W207" s="83"/>
      <c r="X207" s="83"/>
      <c r="Y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121"/>
      <c r="S208" s="83"/>
      <c r="T208" s="107"/>
      <c r="U208" s="83"/>
      <c r="V208" s="146"/>
      <c r="W208" s="83"/>
      <c r="X208" s="83"/>
      <c r="Y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121"/>
      <c r="S209" s="83"/>
      <c r="T209" s="107"/>
      <c r="U209" s="83"/>
      <c r="V209" s="146"/>
      <c r="W209" s="83"/>
      <c r="X209" s="83"/>
      <c r="Y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121"/>
      <c r="S210" s="83"/>
      <c r="T210" s="107"/>
      <c r="U210" s="83"/>
      <c r="V210" s="146"/>
      <c r="W210" s="83"/>
      <c r="X210" s="83"/>
      <c r="Y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121"/>
      <c r="S211" s="83"/>
      <c r="T211" s="107"/>
      <c r="U211" s="83"/>
      <c r="V211" s="146"/>
      <c r="W211" s="83"/>
      <c r="X211" s="83"/>
      <c r="Y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121"/>
      <c r="S212" s="83"/>
      <c r="T212" s="107"/>
      <c r="U212" s="83"/>
      <c r="V212" s="146"/>
      <c r="W212" s="83"/>
      <c r="X212" s="83"/>
      <c r="Y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121"/>
      <c r="S213" s="83"/>
      <c r="T213" s="107"/>
      <c r="U213" s="83"/>
      <c r="V213" s="146"/>
      <c r="W213" s="83"/>
      <c r="X213" s="83"/>
      <c r="Y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121"/>
      <c r="S214" s="83"/>
      <c r="T214" s="107"/>
      <c r="U214" s="83"/>
      <c r="V214" s="146"/>
      <c r="W214" s="83"/>
      <c r="X214" s="83"/>
      <c r="Y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121"/>
      <c r="S215" s="83"/>
      <c r="T215" s="107"/>
      <c r="U215" s="83"/>
      <c r="V215" s="146"/>
      <c r="W215" s="83"/>
      <c r="X215" s="83"/>
      <c r="Y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121"/>
      <c r="S216" s="83"/>
      <c r="T216" s="107"/>
      <c r="U216" s="83"/>
      <c r="V216" s="146"/>
      <c r="W216" s="83"/>
      <c r="X216" s="83"/>
      <c r="Y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121"/>
      <c r="S217" s="83"/>
      <c r="T217" s="107"/>
      <c r="U217" s="83"/>
      <c r="V217" s="146"/>
      <c r="W217" s="83"/>
      <c r="X217" s="83"/>
      <c r="Y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121"/>
      <c r="S218" s="83"/>
      <c r="T218" s="107"/>
      <c r="U218" s="83"/>
      <c r="V218" s="146"/>
      <c r="W218" s="83"/>
      <c r="X218" s="83"/>
      <c r="Y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121"/>
      <c r="S219" s="83"/>
      <c r="T219" s="107"/>
      <c r="U219" s="83"/>
      <c r="V219" s="146"/>
      <c r="W219" s="83"/>
      <c r="X219" s="83"/>
      <c r="Y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121"/>
      <c r="S220" s="83"/>
      <c r="T220" s="107"/>
      <c r="U220" s="83"/>
      <c r="V220" s="146"/>
      <c r="W220" s="83"/>
      <c r="X220" s="83"/>
      <c r="Y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121"/>
      <c r="S221" s="83"/>
      <c r="T221" s="107"/>
      <c r="U221" s="83"/>
      <c r="V221" s="146"/>
      <c r="W221" s="83"/>
      <c r="X221" s="83"/>
      <c r="Y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121"/>
      <c r="S222" s="83"/>
      <c r="T222" s="107"/>
      <c r="U222" s="83"/>
      <c r="V222" s="146"/>
      <c r="W222" s="83"/>
      <c r="X222" s="83"/>
      <c r="Y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121"/>
      <c r="S223" s="83"/>
      <c r="T223" s="107"/>
      <c r="U223" s="83"/>
      <c r="V223" s="146"/>
      <c r="W223" s="83"/>
      <c r="X223" s="83"/>
      <c r="Y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121"/>
      <c r="S224" s="83"/>
      <c r="T224" s="107"/>
      <c r="U224" s="83"/>
      <c r="V224" s="146"/>
      <c r="W224" s="83"/>
      <c r="X224" s="83"/>
      <c r="Y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121"/>
      <c r="S225" s="83"/>
      <c r="T225" s="107"/>
      <c r="U225" s="83"/>
      <c r="V225" s="146"/>
      <c r="W225" s="83"/>
      <c r="X225" s="83"/>
      <c r="Y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121"/>
      <c r="S226" s="83"/>
      <c r="T226" s="107"/>
      <c r="U226" s="83"/>
      <c r="V226" s="146"/>
      <c r="W226" s="83"/>
      <c r="X226" s="83"/>
      <c r="Y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121"/>
      <c r="S227" s="83"/>
      <c r="T227" s="107"/>
      <c r="U227" s="83"/>
      <c r="V227" s="146"/>
      <c r="W227" s="83"/>
      <c r="X227" s="83"/>
      <c r="Y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121"/>
      <c r="S228" s="83"/>
      <c r="T228" s="107"/>
      <c r="U228" s="83"/>
      <c r="V228" s="146"/>
      <c r="W228" s="83"/>
      <c r="X228" s="83"/>
      <c r="Y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121"/>
      <c r="S229" s="83"/>
      <c r="T229" s="107"/>
      <c r="U229" s="83"/>
      <c r="V229" s="146"/>
      <c r="W229" s="83"/>
      <c r="X229" s="83"/>
      <c r="Y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121"/>
      <c r="S230" s="83"/>
      <c r="T230" s="107"/>
      <c r="U230" s="83"/>
      <c r="V230" s="146"/>
      <c r="W230" s="83"/>
      <c r="X230" s="83"/>
      <c r="Y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121"/>
      <c r="S231" s="83"/>
      <c r="T231" s="107"/>
      <c r="U231" s="83"/>
      <c r="V231" s="146"/>
      <c r="W231" s="83"/>
      <c r="X231" s="83"/>
      <c r="Y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121"/>
      <c r="S232" s="83"/>
      <c r="T232" s="107"/>
      <c r="U232" s="83"/>
      <c r="V232" s="146"/>
      <c r="W232" s="83"/>
      <c r="X232" s="83"/>
      <c r="Y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121"/>
      <c r="S233" s="83"/>
      <c r="T233" s="107"/>
      <c r="U233" s="83"/>
      <c r="V233" s="146"/>
      <c r="W233" s="83"/>
      <c r="X233" s="83"/>
      <c r="Y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121"/>
      <c r="S234" s="83"/>
      <c r="T234" s="107"/>
      <c r="U234" s="83"/>
      <c r="V234" s="146"/>
      <c r="W234" s="83"/>
      <c r="X234" s="83"/>
      <c r="Y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121"/>
      <c r="S235" s="83"/>
      <c r="T235" s="107"/>
      <c r="U235" s="83"/>
      <c r="V235" s="146"/>
      <c r="W235" s="83"/>
      <c r="X235" s="83"/>
      <c r="Y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121"/>
      <c r="S236" s="83"/>
      <c r="T236" s="107"/>
      <c r="U236" s="83"/>
      <c r="V236" s="146"/>
      <c r="W236" s="83"/>
      <c r="X236" s="83"/>
      <c r="Y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121"/>
      <c r="S237" s="83"/>
      <c r="T237" s="107"/>
      <c r="U237" s="83"/>
      <c r="V237" s="146"/>
      <c r="W237" s="83"/>
      <c r="X237" s="83"/>
      <c r="Y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121"/>
      <c r="S238" s="83"/>
      <c r="T238" s="107"/>
      <c r="U238" s="83"/>
      <c r="V238" s="146"/>
      <c r="W238" s="83"/>
      <c r="X238" s="83"/>
      <c r="Y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121"/>
      <c r="S239" s="83"/>
      <c r="T239" s="107"/>
      <c r="U239" s="83"/>
      <c r="V239" s="146"/>
      <c r="W239" s="83"/>
      <c r="X239" s="83"/>
      <c r="Y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121"/>
      <c r="S240" s="83"/>
      <c r="T240" s="107"/>
      <c r="U240" s="83"/>
      <c r="V240" s="146"/>
      <c r="W240" s="83"/>
      <c r="X240" s="83"/>
      <c r="Y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121"/>
      <c r="S241" s="83"/>
      <c r="T241" s="107"/>
      <c r="U241" s="83"/>
      <c r="V241" s="146"/>
      <c r="W241" s="83"/>
      <c r="X241" s="83"/>
      <c r="Y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121"/>
      <c r="S242" s="83"/>
      <c r="T242" s="107"/>
      <c r="U242" s="83"/>
      <c r="V242" s="146"/>
      <c r="W242" s="83"/>
      <c r="X242" s="83"/>
      <c r="Y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121"/>
      <c r="S243" s="83"/>
      <c r="T243" s="107"/>
      <c r="U243" s="83"/>
      <c r="V243" s="146"/>
      <c r="W243" s="83"/>
      <c r="X243" s="83"/>
      <c r="Y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121"/>
      <c r="S244" s="83"/>
      <c r="T244" s="107"/>
      <c r="U244" s="83"/>
      <c r="V244" s="146"/>
      <c r="W244" s="83"/>
      <c r="X244" s="83"/>
      <c r="Y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121"/>
      <c r="S245" s="83"/>
      <c r="T245" s="107"/>
      <c r="U245" s="83"/>
      <c r="V245" s="146"/>
      <c r="W245" s="83"/>
      <c r="X245" s="83"/>
      <c r="Y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121"/>
      <c r="S246" s="83"/>
      <c r="T246" s="107"/>
      <c r="U246" s="83"/>
      <c r="V246" s="146"/>
      <c r="W246" s="83"/>
      <c r="X246" s="83"/>
      <c r="Y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121"/>
      <c r="S247" s="83"/>
      <c r="T247" s="107"/>
      <c r="U247" s="83"/>
      <c r="V247" s="146"/>
      <c r="W247" s="83"/>
      <c r="X247" s="83"/>
      <c r="Y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121"/>
      <c r="S248" s="83"/>
      <c r="T248" s="107"/>
      <c r="U248" s="83"/>
      <c r="V248" s="146"/>
      <c r="W248" s="83"/>
      <c r="X248" s="83"/>
      <c r="Y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121"/>
      <c r="S249" s="83"/>
      <c r="T249" s="107"/>
      <c r="U249" s="83"/>
      <c r="V249" s="146"/>
      <c r="W249" s="83"/>
      <c r="X249" s="83"/>
      <c r="Y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121"/>
      <c r="S250" s="83"/>
      <c r="T250" s="107"/>
      <c r="U250" s="83"/>
      <c r="V250" s="146"/>
      <c r="W250" s="83"/>
      <c r="X250" s="83"/>
      <c r="Y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121"/>
      <c r="S251" s="83"/>
      <c r="T251" s="107"/>
      <c r="U251" s="83"/>
      <c r="V251" s="146"/>
      <c r="W251" s="83"/>
      <c r="X251" s="83"/>
      <c r="Y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121"/>
      <c r="S252" s="83"/>
      <c r="T252" s="107"/>
      <c r="U252" s="83"/>
      <c r="V252" s="146"/>
      <c r="W252" s="83"/>
      <c r="X252" s="83"/>
      <c r="Y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121"/>
      <c r="S253" s="83"/>
      <c r="T253" s="107"/>
      <c r="U253" s="83"/>
      <c r="V253" s="146"/>
      <c r="W253" s="83"/>
      <c r="X253" s="83"/>
      <c r="Y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121"/>
      <c r="S254" s="83"/>
      <c r="T254" s="107"/>
      <c r="U254" s="83"/>
      <c r="V254" s="146"/>
      <c r="W254" s="83"/>
      <c r="X254" s="83"/>
      <c r="Y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121"/>
      <c r="S255" s="83"/>
      <c r="T255" s="107"/>
      <c r="U255" s="83"/>
      <c r="V255" s="146"/>
      <c r="W255" s="83"/>
      <c r="X255" s="83"/>
      <c r="Y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121"/>
      <c r="S256" s="83"/>
      <c r="T256" s="107"/>
      <c r="U256" s="83"/>
      <c r="V256" s="146"/>
      <c r="W256" s="83"/>
      <c r="X256" s="83"/>
      <c r="Y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121"/>
      <c r="S257" s="83"/>
      <c r="T257" s="107"/>
      <c r="U257" s="83"/>
      <c r="V257" s="146"/>
      <c r="W257" s="83"/>
      <c r="X257" s="83"/>
      <c r="Y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121"/>
      <c r="S258" s="83"/>
      <c r="T258" s="107"/>
      <c r="U258" s="83"/>
      <c r="V258" s="146"/>
      <c r="W258" s="83"/>
      <c r="X258" s="83"/>
      <c r="Y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121"/>
      <c r="S259" s="83"/>
      <c r="T259" s="107"/>
      <c r="U259" s="83"/>
      <c r="V259" s="146"/>
      <c r="W259" s="83"/>
      <c r="X259" s="83"/>
      <c r="Y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121"/>
      <c r="S260" s="83"/>
      <c r="T260" s="107"/>
      <c r="U260" s="83"/>
      <c r="V260" s="146"/>
      <c r="W260" s="83"/>
      <c r="X260" s="83"/>
      <c r="Y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121"/>
      <c r="S261" s="83"/>
      <c r="T261" s="107"/>
      <c r="U261" s="83"/>
      <c r="V261" s="146"/>
      <c r="W261" s="83"/>
      <c r="X261" s="83"/>
      <c r="Y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121"/>
      <c r="S262" s="83"/>
      <c r="T262" s="107"/>
      <c r="U262" s="83"/>
      <c r="V262" s="146"/>
      <c r="W262" s="83"/>
      <c r="X262" s="83"/>
      <c r="Y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121"/>
      <c r="S263" s="83"/>
      <c r="T263" s="107"/>
      <c r="U263" s="83"/>
      <c r="V263" s="146"/>
      <c r="W263" s="83"/>
      <c r="X263" s="83"/>
      <c r="Y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121"/>
      <c r="S264" s="83"/>
      <c r="T264" s="107"/>
      <c r="U264" s="83"/>
      <c r="V264" s="146"/>
      <c r="W264" s="83"/>
      <c r="X264" s="83"/>
      <c r="Y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121"/>
      <c r="S265" s="83"/>
      <c r="T265" s="107"/>
      <c r="U265" s="83"/>
      <c r="V265" s="146"/>
      <c r="W265" s="83"/>
      <c r="X265" s="83"/>
      <c r="Y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121"/>
      <c r="S266" s="83"/>
      <c r="T266" s="107"/>
      <c r="U266" s="83"/>
      <c r="V266" s="146"/>
      <c r="W266" s="83"/>
      <c r="X266" s="83"/>
      <c r="Y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121"/>
      <c r="S267" s="83"/>
      <c r="T267" s="107"/>
      <c r="U267" s="83"/>
      <c r="V267" s="146"/>
      <c r="W267" s="83"/>
      <c r="X267" s="83"/>
      <c r="Y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121"/>
      <c r="S268" s="83"/>
      <c r="T268" s="107"/>
      <c r="U268" s="83"/>
      <c r="V268" s="146"/>
      <c r="W268" s="83"/>
      <c r="X268" s="83"/>
      <c r="Y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121"/>
      <c r="S269" s="83"/>
      <c r="T269" s="107"/>
      <c r="U269" s="83"/>
      <c r="V269" s="146"/>
      <c r="W269" s="83"/>
      <c r="X269" s="83"/>
      <c r="Y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121"/>
      <c r="S270" s="83"/>
      <c r="T270" s="107"/>
      <c r="U270" s="83"/>
      <c r="V270" s="146"/>
      <c r="W270" s="83"/>
      <c r="X270" s="83"/>
      <c r="Y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121"/>
      <c r="S271" s="83"/>
      <c r="T271" s="107"/>
      <c r="U271" s="83"/>
      <c r="V271" s="146"/>
      <c r="W271" s="83"/>
      <c r="X271" s="83"/>
      <c r="Y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121"/>
      <c r="S272" s="83"/>
      <c r="T272" s="107"/>
      <c r="U272" s="83"/>
      <c r="V272" s="146"/>
      <c r="W272" s="83"/>
      <c r="X272" s="83"/>
      <c r="Y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121"/>
      <c r="S273" s="83"/>
      <c r="T273" s="107"/>
      <c r="U273" s="83"/>
      <c r="V273" s="146"/>
      <c r="W273" s="83"/>
      <c r="X273" s="83"/>
      <c r="Y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121"/>
      <c r="S274" s="83"/>
      <c r="T274" s="107"/>
      <c r="U274" s="83"/>
      <c r="V274" s="146"/>
      <c r="W274" s="83"/>
      <c r="X274" s="83"/>
      <c r="Y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121"/>
      <c r="S275" s="83"/>
      <c r="T275" s="107"/>
      <c r="U275" s="83"/>
      <c r="V275" s="146"/>
      <c r="W275" s="83"/>
      <c r="X275" s="83"/>
      <c r="Y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121"/>
      <c r="S276" s="83"/>
      <c r="T276" s="107"/>
      <c r="U276" s="83"/>
      <c r="V276" s="146"/>
      <c r="W276" s="83"/>
      <c r="X276" s="83"/>
      <c r="Y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121"/>
      <c r="S277" s="83"/>
      <c r="T277" s="107"/>
      <c r="U277" s="83"/>
      <c r="V277" s="146"/>
      <c r="W277" s="83"/>
      <c r="X277" s="83"/>
      <c r="Y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121"/>
      <c r="S278" s="83"/>
      <c r="T278" s="107"/>
      <c r="U278" s="83"/>
      <c r="V278" s="146"/>
      <c r="W278" s="83"/>
      <c r="X278" s="83"/>
      <c r="Y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121"/>
      <c r="S279" s="83"/>
      <c r="T279" s="107"/>
      <c r="U279" s="83"/>
      <c r="V279" s="146"/>
      <c r="W279" s="83"/>
      <c r="X279" s="83"/>
      <c r="Y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121"/>
      <c r="S280" s="83"/>
      <c r="T280" s="107"/>
      <c r="U280" s="83"/>
      <c r="V280" s="146"/>
      <c r="W280" s="83"/>
      <c r="X280" s="83"/>
      <c r="Y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121"/>
      <c r="S281" s="83"/>
      <c r="T281" s="107"/>
      <c r="U281" s="83"/>
      <c r="V281" s="146"/>
      <c r="W281" s="83"/>
      <c r="X281" s="83"/>
      <c r="Y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121"/>
      <c r="S282" s="83"/>
      <c r="T282" s="107"/>
      <c r="U282" s="83"/>
      <c r="V282" s="146"/>
      <c r="W282" s="83"/>
      <c r="X282" s="83"/>
      <c r="Y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121"/>
      <c r="S283" s="83"/>
      <c r="T283" s="107"/>
      <c r="U283" s="83"/>
      <c r="V283" s="146"/>
      <c r="W283" s="83"/>
      <c r="X283" s="83"/>
      <c r="Y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121"/>
      <c r="S284" s="83"/>
      <c r="T284" s="107"/>
      <c r="U284" s="83"/>
      <c r="V284" s="146"/>
      <c r="W284" s="83"/>
      <c r="X284" s="83"/>
      <c r="Y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121"/>
      <c r="S285" s="83"/>
      <c r="T285" s="107"/>
      <c r="U285" s="83"/>
      <c r="V285" s="146"/>
      <c r="W285" s="83"/>
      <c r="X285" s="83"/>
      <c r="Y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121"/>
      <c r="S286" s="83"/>
      <c r="T286" s="107"/>
      <c r="U286" s="83"/>
      <c r="V286" s="146"/>
      <c r="W286" s="83"/>
      <c r="X286" s="83"/>
      <c r="Y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121"/>
      <c r="S287" s="83"/>
      <c r="T287" s="107"/>
      <c r="U287" s="83"/>
      <c r="V287" s="146"/>
      <c r="W287" s="83"/>
      <c r="X287" s="83"/>
      <c r="Y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121"/>
      <c r="S288" s="83"/>
      <c r="T288" s="107"/>
      <c r="U288" s="83"/>
      <c r="V288" s="146"/>
      <c r="W288" s="83"/>
      <c r="X288" s="83"/>
      <c r="Y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121"/>
      <c r="S289" s="83"/>
      <c r="T289" s="107"/>
      <c r="U289" s="83"/>
      <c r="V289" s="146"/>
      <c r="W289" s="83"/>
      <c r="X289" s="83"/>
      <c r="Y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121"/>
      <c r="S290" s="83"/>
      <c r="T290" s="107"/>
      <c r="U290" s="83"/>
      <c r="V290" s="146"/>
      <c r="W290" s="83"/>
      <c r="X290" s="83"/>
      <c r="Y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121"/>
      <c r="S291" s="83"/>
      <c r="T291" s="107"/>
      <c r="U291" s="83"/>
      <c r="V291" s="146"/>
      <c r="W291" s="83"/>
      <c r="X291" s="83"/>
      <c r="Y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121"/>
      <c r="S292" s="83"/>
      <c r="T292" s="107"/>
      <c r="U292" s="83"/>
      <c r="V292" s="146"/>
      <c r="W292" s="83"/>
      <c r="X292" s="83"/>
      <c r="Y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121"/>
      <c r="S293" s="83"/>
      <c r="T293" s="107"/>
      <c r="U293" s="83"/>
      <c r="V293" s="146"/>
      <c r="W293" s="83"/>
      <c r="X293" s="83"/>
      <c r="Y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121"/>
      <c r="S294" s="83"/>
      <c r="T294" s="107"/>
      <c r="U294" s="83"/>
      <c r="V294" s="146"/>
      <c r="W294" s="83"/>
      <c r="X294" s="83"/>
      <c r="Y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121"/>
      <c r="S295" s="83"/>
      <c r="T295" s="107"/>
      <c r="U295" s="83"/>
      <c r="V295" s="146"/>
      <c r="W295" s="83"/>
      <c r="X295" s="83"/>
      <c r="Y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121"/>
      <c r="S296" s="83"/>
      <c r="T296" s="107"/>
      <c r="U296" s="83"/>
      <c r="V296" s="146"/>
      <c r="W296" s="83"/>
      <c r="X296" s="83"/>
      <c r="Y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121"/>
      <c r="S297" s="83"/>
      <c r="T297" s="107"/>
      <c r="U297" s="83"/>
      <c r="V297" s="146"/>
      <c r="W297" s="83"/>
      <c r="X297" s="83"/>
      <c r="Y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121"/>
      <c r="S298" s="83"/>
      <c r="T298" s="107"/>
      <c r="U298" s="83"/>
      <c r="V298" s="146"/>
      <c r="W298" s="83"/>
      <c r="X298" s="83"/>
      <c r="Y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121"/>
      <c r="S299" s="83"/>
      <c r="T299" s="107"/>
      <c r="U299" s="83"/>
      <c r="V299" s="146"/>
      <c r="W299" s="83"/>
      <c r="X299" s="83"/>
      <c r="Y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121"/>
      <c r="S300" s="83"/>
      <c r="T300" s="107"/>
      <c r="U300" s="83"/>
      <c r="V300" s="146"/>
      <c r="W300" s="83"/>
      <c r="X300" s="83"/>
      <c r="Y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121"/>
      <c r="S301" s="83"/>
      <c r="T301" s="107"/>
      <c r="U301" s="83"/>
      <c r="V301" s="146"/>
      <c r="W301" s="83"/>
      <c r="X301" s="83"/>
      <c r="Y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121"/>
      <c r="S302" s="83"/>
      <c r="T302" s="107"/>
      <c r="U302" s="83"/>
      <c r="V302" s="146"/>
      <c r="W302" s="83"/>
      <c r="X302" s="83"/>
      <c r="Y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121"/>
      <c r="S303" s="83"/>
      <c r="T303" s="107"/>
      <c r="U303" s="83"/>
      <c r="V303" s="146"/>
      <c r="W303" s="83"/>
      <c r="X303" s="83"/>
      <c r="Y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121"/>
      <c r="S304" s="83"/>
      <c r="T304" s="107"/>
      <c r="U304" s="83"/>
      <c r="V304" s="146"/>
      <c r="W304" s="83"/>
      <c r="X304" s="83"/>
      <c r="Y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121"/>
      <c r="S305" s="83"/>
      <c r="T305" s="107"/>
      <c r="U305" s="83"/>
      <c r="V305" s="146"/>
      <c r="W305" s="83"/>
      <c r="X305" s="83"/>
      <c r="Y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121"/>
      <c r="S306" s="83"/>
      <c r="T306" s="107"/>
      <c r="U306" s="83"/>
      <c r="V306" s="146"/>
      <c r="W306" s="83"/>
      <c r="X306" s="83"/>
      <c r="Y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121"/>
      <c r="S307" s="83"/>
      <c r="T307" s="107"/>
      <c r="U307" s="83"/>
      <c r="V307" s="146"/>
      <c r="W307" s="83"/>
      <c r="X307" s="83"/>
      <c r="Y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121"/>
      <c r="S308" s="83"/>
      <c r="T308" s="107"/>
      <c r="U308" s="83"/>
      <c r="V308" s="146"/>
      <c r="W308" s="83"/>
      <c r="X308" s="83"/>
      <c r="Y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121"/>
      <c r="S309" s="83"/>
      <c r="T309" s="107"/>
      <c r="U309" s="83"/>
      <c r="V309" s="146"/>
      <c r="W309" s="83"/>
      <c r="X309" s="83"/>
      <c r="Y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121"/>
      <c r="S310" s="83"/>
      <c r="T310" s="107"/>
      <c r="U310" s="83"/>
      <c r="V310" s="146"/>
      <c r="W310" s="83"/>
      <c r="X310" s="83"/>
      <c r="Y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121"/>
      <c r="S311" s="83"/>
      <c r="T311" s="107"/>
      <c r="U311" s="83"/>
      <c r="V311" s="146"/>
      <c r="W311" s="83"/>
      <c r="X311" s="83"/>
      <c r="Y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121"/>
      <c r="S312" s="83"/>
      <c r="T312" s="107"/>
      <c r="U312" s="83"/>
      <c r="V312" s="146"/>
      <c r="W312" s="83"/>
      <c r="X312" s="83"/>
      <c r="Y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121"/>
      <c r="S313" s="83"/>
      <c r="T313" s="107"/>
      <c r="U313" s="83"/>
      <c r="V313" s="146"/>
      <c r="W313" s="83"/>
      <c r="X313" s="83"/>
      <c r="Y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121"/>
      <c r="S314" s="83"/>
      <c r="T314" s="107"/>
      <c r="U314" s="83"/>
      <c r="V314" s="146"/>
      <c r="W314" s="83"/>
      <c r="X314" s="83"/>
      <c r="Y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121"/>
      <c r="S315" s="83"/>
      <c r="T315" s="107"/>
      <c r="U315" s="83"/>
      <c r="V315" s="146"/>
      <c r="W315" s="83"/>
      <c r="X315" s="83"/>
      <c r="Y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121"/>
      <c r="S316" s="83"/>
      <c r="T316" s="107"/>
      <c r="U316" s="83"/>
      <c r="V316" s="146"/>
      <c r="W316" s="83"/>
      <c r="X316" s="83"/>
      <c r="Y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121"/>
      <c r="S317" s="83"/>
      <c r="T317" s="107"/>
      <c r="U317" s="83"/>
      <c r="V317" s="146"/>
      <c r="W317" s="83"/>
      <c r="X317" s="83"/>
      <c r="Y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121"/>
      <c r="S318" s="83"/>
      <c r="T318" s="107"/>
      <c r="U318" s="83"/>
      <c r="V318" s="146"/>
      <c r="W318" s="83"/>
      <c r="X318" s="83"/>
      <c r="Y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121"/>
      <c r="S319" s="83"/>
      <c r="T319" s="107"/>
      <c r="U319" s="83"/>
      <c r="V319" s="146"/>
      <c r="W319" s="83"/>
      <c r="X319" s="83"/>
      <c r="Y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121"/>
      <c r="S320" s="83"/>
      <c r="T320" s="107"/>
      <c r="U320" s="83"/>
      <c r="V320" s="146"/>
      <c r="W320" s="83"/>
      <c r="X320" s="83"/>
      <c r="Y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121"/>
      <c r="S321" s="83"/>
      <c r="T321" s="107"/>
      <c r="U321" s="83"/>
      <c r="V321" s="146"/>
      <c r="W321" s="83"/>
      <c r="X321" s="83"/>
      <c r="Y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121"/>
      <c r="S322" s="83"/>
      <c r="T322" s="107"/>
      <c r="U322" s="83"/>
      <c r="V322" s="146"/>
      <c r="W322" s="83"/>
      <c r="X322" s="83"/>
      <c r="Y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121"/>
      <c r="S323" s="83"/>
      <c r="T323" s="107"/>
      <c r="U323" s="83"/>
      <c r="V323" s="146"/>
      <c r="W323" s="83"/>
      <c r="X323" s="83"/>
      <c r="Y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121"/>
      <c r="S324" s="83"/>
      <c r="T324" s="107"/>
      <c r="U324" s="83"/>
      <c r="V324" s="146"/>
      <c r="W324" s="83"/>
      <c r="X324" s="83"/>
      <c r="Y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121"/>
      <c r="S325" s="83"/>
      <c r="T325" s="107"/>
      <c r="U325" s="83"/>
      <c r="V325" s="146"/>
      <c r="W325" s="83"/>
      <c r="X325" s="83"/>
      <c r="Y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121"/>
      <c r="S326" s="83"/>
      <c r="T326" s="107"/>
      <c r="U326" s="83"/>
      <c r="V326" s="146"/>
      <c r="W326" s="83"/>
      <c r="X326" s="83"/>
      <c r="Y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121"/>
      <c r="S327" s="83"/>
      <c r="T327" s="107"/>
      <c r="U327" s="83"/>
      <c r="V327" s="146"/>
      <c r="W327" s="83"/>
      <c r="X327" s="83"/>
      <c r="Y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121"/>
      <c r="S328" s="83"/>
      <c r="T328" s="107"/>
      <c r="U328" s="83"/>
      <c r="V328" s="146"/>
      <c r="W328" s="83"/>
      <c r="X328" s="83"/>
      <c r="Y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121"/>
      <c r="S329" s="83"/>
      <c r="T329" s="107"/>
      <c r="U329" s="83"/>
      <c r="V329" s="146"/>
      <c r="W329" s="83"/>
      <c r="X329" s="83"/>
      <c r="Y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121"/>
      <c r="S330" s="83"/>
      <c r="T330" s="107"/>
      <c r="U330" s="83"/>
      <c r="V330" s="146"/>
      <c r="W330" s="83"/>
      <c r="X330" s="83"/>
      <c r="Y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121"/>
      <c r="S331" s="83"/>
      <c r="T331" s="107"/>
      <c r="U331" s="83"/>
      <c r="V331" s="146"/>
      <c r="W331" s="83"/>
      <c r="X331" s="83"/>
      <c r="Y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121"/>
      <c r="S332" s="83"/>
      <c r="T332" s="107"/>
      <c r="U332" s="83"/>
      <c r="V332" s="146"/>
      <c r="W332" s="83"/>
      <c r="X332" s="83"/>
      <c r="Y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121"/>
      <c r="S333" s="83"/>
      <c r="T333" s="107"/>
      <c r="U333" s="83"/>
      <c r="V333" s="146"/>
      <c r="W333" s="83"/>
      <c r="X333" s="83"/>
      <c r="Y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121"/>
      <c r="S334" s="83"/>
      <c r="T334" s="107"/>
      <c r="U334" s="83"/>
      <c r="V334" s="146"/>
      <c r="W334" s="83"/>
      <c r="X334" s="83"/>
      <c r="Y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121"/>
      <c r="S335" s="83"/>
      <c r="T335" s="107"/>
      <c r="U335" s="83"/>
      <c r="V335" s="146"/>
      <c r="W335" s="83"/>
      <c r="X335" s="83"/>
      <c r="Y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121"/>
      <c r="S336" s="83"/>
      <c r="T336" s="107"/>
      <c r="U336" s="83"/>
      <c r="V336" s="146"/>
      <c r="W336" s="83"/>
      <c r="X336" s="83"/>
      <c r="Y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121"/>
      <c r="S337" s="83"/>
      <c r="T337" s="107"/>
      <c r="U337" s="83"/>
      <c r="V337" s="146"/>
      <c r="W337" s="83"/>
      <c r="X337" s="83"/>
      <c r="Y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121"/>
      <c r="S338" s="83"/>
      <c r="T338" s="107"/>
      <c r="U338" s="83"/>
      <c r="V338" s="146"/>
      <c r="W338" s="83"/>
      <c r="X338" s="83"/>
      <c r="Y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121"/>
      <c r="S339" s="83"/>
      <c r="T339" s="107"/>
      <c r="U339" s="83"/>
      <c r="V339" s="146"/>
      <c r="W339" s="83"/>
      <c r="X339" s="83"/>
      <c r="Y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121"/>
      <c r="S340" s="83"/>
      <c r="T340" s="107"/>
      <c r="U340" s="83"/>
      <c r="V340" s="146"/>
      <c r="W340" s="83"/>
      <c r="X340" s="83"/>
      <c r="Y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121"/>
      <c r="S341" s="83"/>
      <c r="T341" s="107"/>
      <c r="U341" s="83"/>
      <c r="V341" s="146"/>
      <c r="W341" s="83"/>
      <c r="X341" s="83"/>
      <c r="Y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121"/>
      <c r="S342" s="83"/>
      <c r="T342" s="107"/>
      <c r="U342" s="83"/>
      <c r="V342" s="146"/>
      <c r="W342" s="83"/>
      <c r="X342" s="83"/>
      <c r="Y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121"/>
      <c r="S343" s="83"/>
      <c r="T343" s="107"/>
      <c r="U343" s="83"/>
      <c r="V343" s="146"/>
      <c r="W343" s="83"/>
      <c r="X343" s="83"/>
      <c r="Y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121"/>
      <c r="S344" s="83"/>
      <c r="T344" s="107"/>
      <c r="U344" s="83"/>
      <c r="V344" s="146"/>
      <c r="W344" s="83"/>
      <c r="X344" s="83"/>
      <c r="Y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121"/>
      <c r="S345" s="83"/>
      <c r="T345" s="107"/>
      <c r="U345" s="83"/>
      <c r="V345" s="146"/>
      <c r="W345" s="83"/>
      <c r="X345" s="83"/>
      <c r="Y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121"/>
      <c r="S346" s="83"/>
      <c r="T346" s="107"/>
      <c r="U346" s="83"/>
      <c r="V346" s="146"/>
      <c r="W346" s="83"/>
      <c r="X346" s="83"/>
      <c r="Y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121"/>
      <c r="S347" s="83"/>
      <c r="T347" s="107"/>
      <c r="U347" s="83"/>
      <c r="V347" s="146"/>
      <c r="W347" s="83"/>
      <c r="X347" s="83"/>
      <c r="Y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121"/>
      <c r="S348" s="83"/>
      <c r="T348" s="107"/>
      <c r="U348" s="83"/>
      <c r="V348" s="146"/>
      <c r="W348" s="83"/>
      <c r="X348" s="83"/>
      <c r="Y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121"/>
      <c r="S349" s="83"/>
      <c r="T349" s="107"/>
      <c r="U349" s="83"/>
      <c r="V349" s="146"/>
      <c r="W349" s="83"/>
      <c r="X349" s="83"/>
      <c r="Y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121"/>
      <c r="S350" s="83"/>
      <c r="T350" s="107"/>
      <c r="U350" s="83"/>
      <c r="V350" s="146"/>
      <c r="W350" s="83"/>
      <c r="X350" s="83"/>
      <c r="Y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121"/>
      <c r="S351" s="83"/>
      <c r="T351" s="107"/>
      <c r="U351" s="83"/>
      <c r="V351" s="146"/>
      <c r="W351" s="83"/>
      <c r="X351" s="83"/>
      <c r="Y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121"/>
      <c r="S352" s="83"/>
      <c r="T352" s="107"/>
      <c r="U352" s="83"/>
      <c r="V352" s="146"/>
      <c r="W352" s="83"/>
      <c r="X352" s="83"/>
      <c r="Y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121"/>
      <c r="S353" s="83"/>
      <c r="T353" s="107"/>
      <c r="U353" s="83"/>
      <c r="V353" s="146"/>
      <c r="W353" s="83"/>
      <c r="X353" s="83"/>
      <c r="Y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121"/>
      <c r="S354" s="83"/>
      <c r="T354" s="107"/>
      <c r="U354" s="83"/>
      <c r="V354" s="146"/>
      <c r="W354" s="83"/>
      <c r="X354" s="83"/>
      <c r="Y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121"/>
      <c r="S355" s="83"/>
      <c r="T355" s="107"/>
      <c r="U355" s="83"/>
      <c r="V355" s="146"/>
      <c r="W355" s="83"/>
      <c r="X355" s="83"/>
      <c r="Y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121"/>
      <c r="S356" s="83"/>
      <c r="T356" s="107"/>
      <c r="U356" s="83"/>
      <c r="V356" s="146"/>
      <c r="W356" s="83"/>
      <c r="X356" s="83"/>
      <c r="Y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121"/>
      <c r="S357" s="83"/>
      <c r="T357" s="107"/>
      <c r="U357" s="83"/>
      <c r="V357" s="146"/>
      <c r="W357" s="83"/>
      <c r="X357" s="83"/>
      <c r="Y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121"/>
      <c r="S358" s="83"/>
      <c r="T358" s="107"/>
      <c r="U358" s="83"/>
      <c r="V358" s="146"/>
      <c r="W358" s="83"/>
      <c r="X358" s="83"/>
      <c r="Y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121"/>
      <c r="S359" s="83"/>
      <c r="T359" s="107"/>
      <c r="U359" s="83"/>
      <c r="V359" s="146"/>
      <c r="W359" s="83"/>
      <c r="X359" s="83"/>
      <c r="Y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121"/>
      <c r="S360" s="83"/>
      <c r="T360" s="107"/>
      <c r="U360" s="83"/>
      <c r="V360" s="146"/>
      <c r="W360" s="83"/>
      <c r="X360" s="83"/>
      <c r="Y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121"/>
      <c r="S361" s="83"/>
      <c r="T361" s="107"/>
      <c r="U361" s="83"/>
      <c r="V361" s="146"/>
      <c r="W361" s="83"/>
      <c r="X361" s="83"/>
      <c r="Y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121"/>
      <c r="S362" s="83"/>
      <c r="T362" s="107"/>
      <c r="U362" s="83"/>
      <c r="V362" s="146"/>
      <c r="W362" s="83"/>
      <c r="X362" s="83"/>
      <c r="Y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121"/>
      <c r="S363" s="83"/>
      <c r="T363" s="107"/>
      <c r="U363" s="83"/>
      <c r="V363" s="146"/>
      <c r="W363" s="83"/>
      <c r="X363" s="83"/>
      <c r="Y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121"/>
      <c r="S364" s="83"/>
      <c r="T364" s="107"/>
      <c r="U364" s="83"/>
      <c r="V364" s="146"/>
      <c r="W364" s="83"/>
      <c r="X364" s="83"/>
      <c r="Y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121"/>
      <c r="S365" s="83"/>
      <c r="T365" s="107"/>
      <c r="U365" s="83"/>
      <c r="V365" s="146"/>
      <c r="W365" s="83"/>
      <c r="X365" s="83"/>
      <c r="Y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121"/>
      <c r="S366" s="83"/>
      <c r="T366" s="107"/>
      <c r="U366" s="83"/>
      <c r="V366" s="146"/>
      <c r="W366" s="83"/>
      <c r="X366" s="83"/>
      <c r="Y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121"/>
      <c r="S367" s="83"/>
      <c r="T367" s="107"/>
      <c r="U367" s="83"/>
      <c r="V367" s="146"/>
      <c r="W367" s="83"/>
      <c r="X367" s="83"/>
      <c r="Y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121"/>
      <c r="S368" s="83"/>
      <c r="T368" s="107"/>
      <c r="U368" s="83"/>
      <c r="V368" s="146"/>
      <c r="W368" s="83"/>
      <c r="X368" s="83"/>
      <c r="Y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121"/>
      <c r="S369" s="83"/>
      <c r="T369" s="107"/>
      <c r="U369" s="83"/>
      <c r="V369" s="146"/>
      <c r="W369" s="83"/>
      <c r="X369" s="83"/>
      <c r="Y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121"/>
      <c r="S370" s="83"/>
      <c r="T370" s="107"/>
      <c r="U370" s="83"/>
      <c r="V370" s="146"/>
      <c r="W370" s="83"/>
      <c r="X370" s="83"/>
      <c r="Y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121"/>
      <c r="S371" s="83"/>
      <c r="T371" s="107"/>
      <c r="U371" s="83"/>
      <c r="V371" s="146"/>
      <c r="W371" s="83"/>
      <c r="X371" s="83"/>
      <c r="Y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121"/>
      <c r="S372" s="83"/>
      <c r="T372" s="107"/>
      <c r="U372" s="83"/>
      <c r="V372" s="146"/>
      <c r="W372" s="83"/>
      <c r="X372" s="83"/>
      <c r="Y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121"/>
      <c r="S373" s="83"/>
      <c r="T373" s="107"/>
      <c r="U373" s="83"/>
      <c r="V373" s="146"/>
      <c r="W373" s="83"/>
      <c r="X373" s="83"/>
      <c r="Y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121"/>
      <c r="S374" s="83"/>
      <c r="T374" s="107"/>
      <c r="U374" s="83"/>
      <c r="V374" s="146"/>
      <c r="W374" s="83"/>
      <c r="X374" s="83"/>
      <c r="Y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121"/>
      <c r="S375" s="83"/>
      <c r="T375" s="107"/>
      <c r="U375" s="83"/>
      <c r="V375" s="146"/>
      <c r="W375" s="83"/>
      <c r="X375" s="83"/>
      <c r="Y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121"/>
      <c r="S376" s="83"/>
      <c r="T376" s="107"/>
      <c r="U376" s="83"/>
      <c r="V376" s="146"/>
      <c r="W376" s="83"/>
      <c r="X376" s="83"/>
      <c r="Y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121"/>
      <c r="S377" s="83"/>
      <c r="T377" s="107"/>
      <c r="U377" s="83"/>
      <c r="V377" s="146"/>
      <c r="W377" s="83"/>
      <c r="X377" s="83"/>
      <c r="Y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121"/>
      <c r="S378" s="83"/>
      <c r="T378" s="107"/>
      <c r="U378" s="83"/>
      <c r="V378" s="146"/>
      <c r="W378" s="83"/>
      <c r="X378" s="83"/>
      <c r="Y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121"/>
      <c r="S379" s="83"/>
      <c r="T379" s="107"/>
      <c r="U379" s="83"/>
      <c r="V379" s="146"/>
      <c r="W379" s="83"/>
      <c r="X379" s="83"/>
      <c r="Y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121"/>
      <c r="S380" s="83"/>
      <c r="T380" s="107"/>
      <c r="U380" s="83"/>
      <c r="V380" s="146"/>
      <c r="W380" s="83"/>
      <c r="X380" s="83"/>
      <c r="Y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121"/>
      <c r="S381" s="83"/>
      <c r="T381" s="107"/>
      <c r="U381" s="83"/>
      <c r="V381" s="146"/>
      <c r="W381" s="83"/>
      <c r="X381" s="83"/>
      <c r="Y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121"/>
      <c r="S382" s="83"/>
      <c r="T382" s="107"/>
      <c r="U382" s="83"/>
      <c r="V382" s="146"/>
      <c r="W382" s="83"/>
      <c r="X382" s="83"/>
      <c r="Y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121"/>
      <c r="S383" s="83"/>
      <c r="T383" s="107"/>
      <c r="U383" s="83"/>
      <c r="V383" s="146"/>
      <c r="W383" s="83"/>
      <c r="X383" s="83"/>
      <c r="Y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121"/>
      <c r="S384" s="83"/>
      <c r="T384" s="107"/>
      <c r="U384" s="83"/>
      <c r="V384" s="146"/>
      <c r="W384" s="83"/>
      <c r="X384" s="83"/>
      <c r="Y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121"/>
      <c r="S385" s="83"/>
      <c r="T385" s="107"/>
      <c r="U385" s="83"/>
      <c r="V385" s="146"/>
      <c r="W385" s="83"/>
      <c r="X385" s="83"/>
      <c r="Y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121"/>
      <c r="S386" s="83"/>
      <c r="T386" s="107"/>
      <c r="U386" s="83"/>
      <c r="V386" s="146"/>
      <c r="W386" s="83"/>
      <c r="X386" s="83"/>
      <c r="Y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121"/>
      <c r="S387" s="83"/>
      <c r="T387" s="107"/>
      <c r="U387" s="83"/>
      <c r="V387" s="146"/>
      <c r="W387" s="83"/>
      <c r="X387" s="83"/>
      <c r="Y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121"/>
      <c r="S388" s="83"/>
      <c r="T388" s="107"/>
      <c r="U388" s="83"/>
      <c r="V388" s="146"/>
      <c r="W388" s="83"/>
      <c r="X388" s="83"/>
      <c r="Y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121"/>
      <c r="S389" s="83"/>
      <c r="T389" s="107"/>
      <c r="U389" s="83"/>
      <c r="V389" s="146"/>
      <c r="W389" s="83"/>
      <c r="X389" s="83"/>
      <c r="Y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121"/>
      <c r="S390" s="83"/>
      <c r="T390" s="107"/>
      <c r="U390" s="83"/>
      <c r="V390" s="146"/>
      <c r="W390" s="83"/>
      <c r="X390" s="83"/>
      <c r="Y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121"/>
      <c r="S391" s="83"/>
      <c r="T391" s="107"/>
      <c r="U391" s="83"/>
      <c r="V391" s="146"/>
      <c r="W391" s="83"/>
      <c r="X391" s="83"/>
      <c r="Y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121"/>
      <c r="S392" s="83"/>
      <c r="T392" s="107"/>
      <c r="U392" s="83"/>
      <c r="V392" s="146"/>
      <c r="W392" s="83"/>
      <c r="X392" s="83"/>
      <c r="Y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121"/>
      <c r="S393" s="83"/>
      <c r="T393" s="107"/>
      <c r="U393" s="83"/>
      <c r="V393" s="146"/>
      <c r="W393" s="83"/>
      <c r="X393" s="83"/>
      <c r="Y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121"/>
      <c r="S394" s="83"/>
      <c r="T394" s="107"/>
      <c r="U394" s="83"/>
      <c r="V394" s="146"/>
      <c r="W394" s="83"/>
      <c r="X394" s="83"/>
      <c r="Y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121"/>
      <c r="S395" s="83"/>
      <c r="T395" s="107"/>
      <c r="U395" s="83"/>
      <c r="V395" s="146"/>
      <c r="W395" s="83"/>
      <c r="X395" s="83"/>
      <c r="Y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121"/>
      <c r="S396" s="83"/>
      <c r="T396" s="107"/>
      <c r="U396" s="83"/>
      <c r="V396" s="146"/>
      <c r="W396" s="83"/>
      <c r="X396" s="83"/>
      <c r="Y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121"/>
      <c r="S397" s="83"/>
      <c r="T397" s="107"/>
      <c r="U397" s="83"/>
      <c r="V397" s="146"/>
      <c r="W397" s="83"/>
      <c r="X397" s="83"/>
      <c r="Y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121"/>
      <c r="S398" s="83"/>
      <c r="T398" s="107"/>
      <c r="U398" s="83"/>
      <c r="V398" s="146"/>
      <c r="W398" s="83"/>
      <c r="X398" s="83"/>
      <c r="Y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121"/>
      <c r="S399" s="83"/>
      <c r="T399" s="107"/>
      <c r="U399" s="83"/>
      <c r="V399" s="146"/>
      <c r="W399" s="83"/>
      <c r="X399" s="83"/>
      <c r="Y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121"/>
      <c r="S400" s="83"/>
      <c r="T400" s="107"/>
      <c r="U400" s="83"/>
      <c r="V400" s="146"/>
      <c r="W400" s="83"/>
      <c r="X400" s="83"/>
      <c r="Y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121"/>
      <c r="S401" s="83"/>
      <c r="T401" s="107"/>
      <c r="U401" s="83"/>
      <c r="V401" s="146"/>
      <c r="W401" s="83"/>
      <c r="X401" s="83"/>
      <c r="Y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121"/>
      <c r="S402" s="83"/>
      <c r="T402" s="107"/>
      <c r="U402" s="83"/>
      <c r="V402" s="146"/>
      <c r="W402" s="83"/>
      <c r="X402" s="83"/>
      <c r="Y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121"/>
      <c r="S403" s="83"/>
      <c r="T403" s="107"/>
      <c r="U403" s="83"/>
      <c r="V403" s="146"/>
      <c r="W403" s="83"/>
      <c r="X403" s="83"/>
      <c r="Y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121"/>
      <c r="S404" s="83"/>
      <c r="T404" s="107"/>
      <c r="U404" s="83"/>
      <c r="V404" s="146"/>
      <c r="W404" s="83"/>
      <c r="X404" s="83"/>
      <c r="Y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121"/>
      <c r="S405" s="83"/>
      <c r="T405" s="107"/>
      <c r="U405" s="83"/>
      <c r="V405" s="146"/>
      <c r="W405" s="83"/>
      <c r="X405" s="83"/>
      <c r="Y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121"/>
      <c r="S406" s="83"/>
      <c r="T406" s="107"/>
      <c r="U406" s="83"/>
      <c r="V406" s="146"/>
      <c r="W406" s="83"/>
      <c r="X406" s="83"/>
      <c r="Y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121"/>
      <c r="S407" s="83"/>
      <c r="T407" s="107"/>
      <c r="U407" s="83"/>
      <c r="V407" s="146"/>
      <c r="W407" s="83"/>
      <c r="X407" s="83"/>
      <c r="Y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121"/>
      <c r="S408" s="83"/>
      <c r="T408" s="107"/>
      <c r="U408" s="83"/>
      <c r="V408" s="146"/>
      <c r="W408" s="83"/>
      <c r="X408" s="83"/>
      <c r="Y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121"/>
      <c r="S409" s="83"/>
      <c r="T409" s="107"/>
      <c r="U409" s="83"/>
      <c r="V409" s="146"/>
      <c r="W409" s="83"/>
      <c r="X409" s="83"/>
      <c r="Y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121"/>
      <c r="S410" s="83"/>
      <c r="T410" s="107"/>
      <c r="U410" s="83"/>
      <c r="V410" s="146"/>
      <c r="W410" s="83"/>
      <c r="X410" s="83"/>
      <c r="Y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121"/>
      <c r="S411" s="83"/>
      <c r="T411" s="107"/>
      <c r="U411" s="83"/>
      <c r="V411" s="146"/>
      <c r="W411" s="83"/>
      <c r="X411" s="83"/>
      <c r="Y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121"/>
      <c r="S412" s="83"/>
      <c r="T412" s="107"/>
      <c r="U412" s="83"/>
      <c r="V412" s="146"/>
      <c r="W412" s="83"/>
      <c r="X412" s="83"/>
      <c r="Y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121"/>
      <c r="S413" s="83"/>
      <c r="T413" s="107"/>
      <c r="U413" s="83"/>
      <c r="V413" s="146"/>
      <c r="W413" s="83"/>
      <c r="X413" s="83"/>
      <c r="Y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121"/>
      <c r="S414" s="83"/>
      <c r="T414" s="107"/>
      <c r="U414" s="83"/>
      <c r="V414" s="146"/>
      <c r="W414" s="83"/>
      <c r="X414" s="83"/>
      <c r="Y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121"/>
      <c r="S415" s="83"/>
      <c r="T415" s="107"/>
      <c r="U415" s="83"/>
      <c r="V415" s="146"/>
      <c r="W415" s="83"/>
      <c r="X415" s="83"/>
      <c r="Y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121"/>
      <c r="S416" s="83"/>
      <c r="T416" s="107"/>
      <c r="U416" s="83"/>
      <c r="V416" s="146"/>
      <c r="W416" s="83"/>
      <c r="X416" s="83"/>
      <c r="Y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121"/>
      <c r="S417" s="83"/>
      <c r="T417" s="107"/>
      <c r="U417" s="83"/>
      <c r="V417" s="146"/>
      <c r="W417" s="83"/>
      <c r="X417" s="83"/>
      <c r="Y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121"/>
      <c r="S418" s="83"/>
      <c r="T418" s="107"/>
      <c r="U418" s="83"/>
      <c r="V418" s="146"/>
      <c r="W418" s="83"/>
      <c r="X418" s="83"/>
      <c r="Y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121"/>
      <c r="S419" s="83"/>
      <c r="T419" s="107"/>
      <c r="U419" s="83"/>
      <c r="V419" s="146"/>
      <c r="W419" s="83"/>
      <c r="X419" s="83"/>
      <c r="Y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121"/>
      <c r="S420" s="83"/>
      <c r="T420" s="107"/>
      <c r="U420" s="83"/>
      <c r="V420" s="146"/>
      <c r="W420" s="83"/>
      <c r="X420" s="83"/>
      <c r="Y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121"/>
      <c r="S421" s="83"/>
      <c r="T421" s="107"/>
      <c r="U421" s="83"/>
      <c r="V421" s="146"/>
      <c r="W421" s="83"/>
      <c r="X421" s="83"/>
      <c r="Y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121"/>
      <c r="S422" s="83"/>
      <c r="T422" s="107"/>
      <c r="U422" s="83"/>
      <c r="V422" s="146"/>
      <c r="W422" s="83"/>
      <c r="X422" s="83"/>
      <c r="Y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121"/>
      <c r="S423" s="83"/>
      <c r="T423" s="107"/>
      <c r="U423" s="83"/>
      <c r="V423" s="146"/>
      <c r="W423" s="83"/>
      <c r="X423" s="83"/>
      <c r="Y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121"/>
      <c r="S424" s="83"/>
      <c r="T424" s="107"/>
      <c r="U424" s="83"/>
      <c r="V424" s="146"/>
      <c r="W424" s="83"/>
      <c r="X424" s="83"/>
      <c r="Y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121"/>
      <c r="S425" s="83"/>
      <c r="T425" s="107"/>
      <c r="U425" s="83"/>
      <c r="V425" s="146"/>
      <c r="W425" s="83"/>
      <c r="X425" s="83"/>
      <c r="Y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121"/>
      <c r="S426" s="83"/>
      <c r="T426" s="107"/>
      <c r="U426" s="83"/>
      <c r="V426" s="146"/>
      <c r="W426" s="83"/>
      <c r="X426" s="83"/>
      <c r="Y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121"/>
      <c r="S427" s="83"/>
      <c r="T427" s="107"/>
      <c r="U427" s="83"/>
      <c r="V427" s="146"/>
      <c r="W427" s="83"/>
      <c r="X427" s="83"/>
      <c r="Y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121"/>
      <c r="S428" s="83"/>
      <c r="T428" s="107"/>
      <c r="U428" s="83"/>
      <c r="V428" s="146"/>
      <c r="W428" s="83"/>
      <c r="X428" s="83"/>
      <c r="Y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121"/>
      <c r="S429" s="83"/>
      <c r="T429" s="107"/>
      <c r="U429" s="83"/>
      <c r="V429" s="146"/>
      <c r="W429" s="83"/>
      <c r="X429" s="83"/>
      <c r="Y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121"/>
      <c r="S430" s="83"/>
      <c r="T430" s="107"/>
      <c r="U430" s="83"/>
      <c r="V430" s="146"/>
      <c r="W430" s="83"/>
      <c r="X430" s="83"/>
      <c r="Y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121"/>
      <c r="S431" s="83"/>
      <c r="T431" s="107"/>
      <c r="U431" s="83"/>
      <c r="V431" s="146"/>
      <c r="W431" s="83"/>
      <c r="X431" s="83"/>
      <c r="Y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121"/>
      <c r="S432" s="83"/>
      <c r="T432" s="107"/>
      <c r="U432" s="83"/>
      <c r="V432" s="146"/>
      <c r="W432" s="83"/>
      <c r="X432" s="83"/>
      <c r="Y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121"/>
      <c r="S433" s="83"/>
      <c r="T433" s="107"/>
      <c r="U433" s="83"/>
      <c r="V433" s="146"/>
      <c r="W433" s="83"/>
      <c r="X433" s="83"/>
      <c r="Y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121"/>
      <c r="S434" s="83"/>
      <c r="T434" s="107"/>
      <c r="U434" s="83"/>
      <c r="V434" s="146"/>
      <c r="W434" s="83"/>
      <c r="X434" s="83"/>
      <c r="Y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121"/>
      <c r="S435" s="83"/>
      <c r="T435" s="107"/>
      <c r="U435" s="83"/>
      <c r="V435" s="146"/>
      <c r="W435" s="83"/>
      <c r="X435" s="83"/>
      <c r="Y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121"/>
      <c r="S436" s="83"/>
      <c r="T436" s="107"/>
      <c r="U436" s="83"/>
      <c r="V436" s="146"/>
      <c r="W436" s="83"/>
      <c r="X436" s="83"/>
      <c r="Y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121"/>
      <c r="S437" s="83"/>
      <c r="T437" s="107"/>
      <c r="U437" s="83"/>
      <c r="V437" s="146"/>
      <c r="W437" s="83"/>
      <c r="X437" s="83"/>
      <c r="Y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121"/>
      <c r="S438" s="83"/>
      <c r="T438" s="107"/>
      <c r="U438" s="83"/>
      <c r="V438" s="146"/>
      <c r="W438" s="83"/>
      <c r="X438" s="83"/>
      <c r="Y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121"/>
      <c r="S439" s="83"/>
      <c r="T439" s="107"/>
      <c r="U439" s="83"/>
      <c r="V439" s="146"/>
      <c r="W439" s="83"/>
      <c r="X439" s="83"/>
      <c r="Y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121"/>
      <c r="S440" s="83"/>
      <c r="T440" s="107"/>
      <c r="U440" s="83"/>
      <c r="V440" s="146"/>
      <c r="W440" s="83"/>
      <c r="X440" s="83"/>
      <c r="Y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121"/>
      <c r="S441" s="83"/>
      <c r="T441" s="107"/>
      <c r="U441" s="83"/>
      <c r="V441" s="146"/>
      <c r="W441" s="83"/>
      <c r="X441" s="83"/>
      <c r="Y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121"/>
      <c r="S442" s="83"/>
      <c r="T442" s="107"/>
      <c r="U442" s="83"/>
      <c r="V442" s="146"/>
      <c r="W442" s="83"/>
      <c r="X442" s="83"/>
      <c r="Y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121"/>
      <c r="S443" s="83"/>
      <c r="T443" s="107"/>
      <c r="U443" s="83"/>
      <c r="V443" s="146"/>
      <c r="W443" s="83"/>
      <c r="X443" s="83"/>
      <c r="Y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121"/>
      <c r="S444" s="83"/>
      <c r="T444" s="107"/>
      <c r="U444" s="83"/>
      <c r="V444" s="146"/>
      <c r="W444" s="83"/>
      <c r="X444" s="83"/>
      <c r="Y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121"/>
      <c r="S445" s="83"/>
      <c r="T445" s="107"/>
      <c r="U445" s="83"/>
      <c r="V445" s="146"/>
      <c r="W445" s="83"/>
      <c r="X445" s="83"/>
      <c r="Y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121"/>
      <c r="S446" s="83"/>
      <c r="T446" s="107"/>
      <c r="U446" s="83"/>
      <c r="V446" s="146"/>
      <c r="W446" s="83"/>
      <c r="X446" s="83"/>
      <c r="Y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121"/>
      <c r="S447" s="83"/>
      <c r="T447" s="107"/>
      <c r="U447" s="83"/>
      <c r="V447" s="146"/>
      <c r="W447" s="83"/>
      <c r="X447" s="83"/>
      <c r="Y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121"/>
      <c r="S448" s="83"/>
      <c r="T448" s="107"/>
      <c r="U448" s="83"/>
      <c r="V448" s="146"/>
      <c r="W448" s="83"/>
      <c r="X448" s="83"/>
      <c r="Y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121"/>
      <c r="S449" s="83"/>
      <c r="T449" s="107"/>
      <c r="U449" s="83"/>
      <c r="V449" s="146"/>
      <c r="W449" s="83"/>
      <c r="X449" s="83"/>
      <c r="Y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121"/>
      <c r="S450" s="83"/>
      <c r="T450" s="107"/>
      <c r="U450" s="83"/>
      <c r="V450" s="146"/>
      <c r="W450" s="83"/>
      <c r="X450" s="83"/>
      <c r="Y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121"/>
      <c r="S451" s="83"/>
      <c r="T451" s="107"/>
      <c r="U451" s="83"/>
      <c r="V451" s="146"/>
      <c r="W451" s="83"/>
      <c r="X451" s="83"/>
      <c r="Y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121"/>
      <c r="S452" s="83"/>
      <c r="T452" s="107"/>
      <c r="U452" s="83"/>
      <c r="V452" s="146"/>
      <c r="W452" s="83"/>
      <c r="X452" s="83"/>
      <c r="Y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121"/>
      <c r="S453" s="83"/>
      <c r="T453" s="107"/>
      <c r="U453" s="83"/>
      <c r="V453" s="146"/>
      <c r="W453" s="83"/>
      <c r="X453" s="83"/>
      <c r="Y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121"/>
      <c r="S454" s="83"/>
      <c r="T454" s="107"/>
      <c r="U454" s="83"/>
      <c r="V454" s="146"/>
      <c r="W454" s="83"/>
      <c r="X454" s="83"/>
      <c r="Y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121"/>
      <c r="S455" s="83"/>
      <c r="T455" s="107"/>
      <c r="U455" s="83"/>
      <c r="V455" s="146"/>
      <c r="W455" s="83"/>
      <c r="X455" s="83"/>
      <c r="Y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121"/>
      <c r="S456" s="83"/>
      <c r="T456" s="107"/>
      <c r="U456" s="83"/>
      <c r="V456" s="146"/>
      <c r="W456" s="83"/>
      <c r="X456" s="83"/>
      <c r="Y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121"/>
      <c r="S457" s="83"/>
      <c r="T457" s="107"/>
      <c r="U457" s="83"/>
      <c r="V457" s="146"/>
      <c r="W457" s="83"/>
      <c r="X457" s="83"/>
      <c r="Y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121"/>
      <c r="S458" s="83"/>
      <c r="T458" s="107"/>
      <c r="U458" s="83"/>
      <c r="V458" s="146"/>
      <c r="W458" s="83"/>
      <c r="X458" s="83"/>
      <c r="Y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121"/>
      <c r="S459" s="83"/>
      <c r="T459" s="107"/>
      <c r="U459" s="83"/>
      <c r="V459" s="146"/>
      <c r="W459" s="83"/>
      <c r="X459" s="83"/>
      <c r="Y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121"/>
      <c r="S460" s="83"/>
      <c r="T460" s="107"/>
      <c r="U460" s="83"/>
      <c r="V460" s="146"/>
      <c r="W460" s="83"/>
      <c r="X460" s="83"/>
      <c r="Y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121"/>
      <c r="S461" s="83"/>
      <c r="T461" s="107"/>
      <c r="U461" s="83"/>
      <c r="V461" s="146"/>
      <c r="W461" s="83"/>
      <c r="X461" s="83"/>
      <c r="Y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121"/>
      <c r="S462" s="83"/>
      <c r="T462" s="107"/>
      <c r="U462" s="83"/>
      <c r="V462" s="146"/>
      <c r="W462" s="83"/>
      <c r="X462" s="83"/>
      <c r="Y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121"/>
      <c r="S463" s="83"/>
      <c r="T463" s="107"/>
      <c r="U463" s="83"/>
      <c r="V463" s="146"/>
      <c r="W463" s="83"/>
      <c r="X463" s="83"/>
      <c r="Y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121"/>
      <c r="S464" s="83"/>
      <c r="T464" s="107"/>
      <c r="U464" s="83"/>
      <c r="V464" s="146"/>
      <c r="W464" s="83"/>
      <c r="X464" s="83"/>
      <c r="Y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121"/>
      <c r="S465" s="83"/>
      <c r="T465" s="107"/>
      <c r="U465" s="83"/>
      <c r="V465" s="146"/>
      <c r="W465" s="83"/>
      <c r="X465" s="83"/>
      <c r="Y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121"/>
      <c r="S466" s="83"/>
      <c r="T466" s="107"/>
      <c r="U466" s="83"/>
      <c r="V466" s="146"/>
      <c r="W466" s="83"/>
      <c r="X466" s="83"/>
      <c r="Y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121"/>
      <c r="S467" s="83"/>
      <c r="T467" s="107"/>
      <c r="U467" s="83"/>
      <c r="V467" s="146"/>
      <c r="W467" s="83"/>
      <c r="X467" s="83"/>
      <c r="Y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121"/>
      <c r="S468" s="83"/>
      <c r="T468" s="107"/>
      <c r="U468" s="83"/>
      <c r="V468" s="146"/>
      <c r="W468" s="83"/>
      <c r="X468" s="83"/>
      <c r="Y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121"/>
      <c r="S469" s="83"/>
      <c r="T469" s="107"/>
      <c r="U469" s="83"/>
      <c r="V469" s="146"/>
      <c r="W469" s="83"/>
      <c r="X469" s="83"/>
      <c r="Y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121"/>
      <c r="S470" s="83"/>
      <c r="T470" s="107"/>
      <c r="U470" s="83"/>
      <c r="V470" s="146"/>
      <c r="W470" s="83"/>
      <c r="X470" s="83"/>
      <c r="Y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121"/>
      <c r="S471" s="83"/>
      <c r="T471" s="107"/>
      <c r="U471" s="83"/>
      <c r="V471" s="146"/>
      <c r="W471" s="83"/>
      <c r="X471" s="83"/>
      <c r="Y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121"/>
      <c r="S472" s="83"/>
      <c r="T472" s="107"/>
      <c r="U472" s="83"/>
      <c r="V472" s="146"/>
      <c r="W472" s="83"/>
      <c r="X472" s="83"/>
      <c r="Y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121"/>
      <c r="S473" s="83"/>
      <c r="T473" s="107"/>
      <c r="U473" s="83"/>
      <c r="V473" s="146"/>
      <c r="W473" s="83"/>
      <c r="X473" s="83"/>
      <c r="Y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121"/>
      <c r="S474" s="83"/>
      <c r="T474" s="107"/>
      <c r="U474" s="83"/>
      <c r="V474" s="146"/>
      <c r="W474" s="83"/>
      <c r="X474" s="83"/>
      <c r="Y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121"/>
      <c r="S475" s="83"/>
      <c r="T475" s="107"/>
      <c r="U475" s="83"/>
      <c r="V475" s="146"/>
      <c r="W475" s="83"/>
      <c r="X475" s="83"/>
      <c r="Y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121"/>
      <c r="S476" s="83"/>
      <c r="T476" s="107"/>
      <c r="U476" s="83"/>
      <c r="V476" s="146"/>
      <c r="W476" s="83"/>
      <c r="X476" s="83"/>
      <c r="Y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121"/>
      <c r="S477" s="83"/>
      <c r="T477" s="107"/>
      <c r="U477" s="83"/>
      <c r="V477" s="146"/>
      <c r="W477" s="83"/>
      <c r="X477" s="83"/>
      <c r="Y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121"/>
      <c r="S478" s="83"/>
      <c r="T478" s="107"/>
      <c r="U478" s="83"/>
      <c r="V478" s="146"/>
      <c r="W478" s="83"/>
      <c r="X478" s="83"/>
      <c r="Y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121"/>
      <c r="S479" s="83"/>
      <c r="T479" s="107"/>
      <c r="U479" s="83"/>
      <c r="V479" s="146"/>
      <c r="W479" s="83"/>
      <c r="X479" s="83"/>
      <c r="Y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121"/>
      <c r="S480" s="83"/>
      <c r="T480" s="107"/>
      <c r="U480" s="83"/>
      <c r="V480" s="146"/>
      <c r="W480" s="83"/>
      <c r="X480" s="83"/>
      <c r="Y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121"/>
      <c r="S481" s="83"/>
      <c r="T481" s="107"/>
      <c r="U481" s="83"/>
      <c r="V481" s="146"/>
      <c r="W481" s="83"/>
      <c r="X481" s="83"/>
      <c r="Y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121"/>
      <c r="S482" s="83"/>
      <c r="T482" s="107"/>
      <c r="U482" s="83"/>
      <c r="V482" s="146"/>
      <c r="W482" s="83"/>
      <c r="X482" s="83"/>
      <c r="Y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121"/>
      <c r="S483" s="83"/>
      <c r="T483" s="107"/>
      <c r="U483" s="83"/>
      <c r="V483" s="146"/>
      <c r="W483" s="83"/>
      <c r="X483" s="83"/>
      <c r="Y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121"/>
      <c r="S484" s="83"/>
      <c r="T484" s="107"/>
      <c r="U484" s="83"/>
      <c r="V484" s="146"/>
      <c r="W484" s="83"/>
      <c r="X484" s="83"/>
      <c r="Y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121"/>
      <c r="S485" s="83"/>
      <c r="T485" s="107"/>
      <c r="U485" s="83"/>
      <c r="V485" s="146"/>
      <c r="W485" s="83"/>
      <c r="X485" s="83"/>
      <c r="Y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121"/>
      <c r="S486" s="83"/>
      <c r="T486" s="107"/>
      <c r="U486" s="83"/>
      <c r="V486" s="146"/>
      <c r="W486" s="83"/>
      <c r="X486" s="83"/>
      <c r="Y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121"/>
      <c r="S487" s="83"/>
      <c r="T487" s="107"/>
      <c r="U487" s="83"/>
      <c r="V487" s="146"/>
      <c r="W487" s="83"/>
      <c r="X487" s="83"/>
      <c r="Y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121"/>
      <c r="S488" s="83"/>
      <c r="T488" s="107"/>
      <c r="U488" s="83"/>
      <c r="V488" s="146"/>
      <c r="W488" s="83"/>
      <c r="X488" s="83"/>
      <c r="Y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121"/>
      <c r="S489" s="83"/>
      <c r="T489" s="107"/>
      <c r="U489" s="83"/>
      <c r="V489" s="146"/>
      <c r="W489" s="83"/>
      <c r="X489" s="83"/>
      <c r="Y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121"/>
      <c r="S490" s="83"/>
      <c r="T490" s="107"/>
      <c r="U490" s="83"/>
      <c r="V490" s="146"/>
      <c r="W490" s="83"/>
      <c r="X490" s="83"/>
      <c r="Y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121"/>
      <c r="S491" s="83"/>
      <c r="T491" s="107"/>
      <c r="U491" s="83"/>
      <c r="V491" s="146"/>
      <c r="W491" s="83"/>
      <c r="X491" s="83"/>
      <c r="Y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121"/>
      <c r="S492" s="83"/>
      <c r="T492" s="107"/>
      <c r="U492" s="83"/>
      <c r="V492" s="146"/>
      <c r="W492" s="83"/>
      <c r="X492" s="83"/>
      <c r="Y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121"/>
      <c r="S493" s="83"/>
      <c r="T493" s="107"/>
      <c r="U493" s="83"/>
      <c r="V493" s="146"/>
      <c r="W493" s="83"/>
      <c r="X493" s="83"/>
      <c r="Y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121"/>
      <c r="S494" s="83"/>
      <c r="T494" s="107"/>
      <c r="U494" s="83"/>
      <c r="V494" s="146"/>
      <c r="W494" s="83"/>
      <c r="X494" s="83"/>
      <c r="Y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121"/>
      <c r="S495" s="83"/>
      <c r="T495" s="107"/>
      <c r="U495" s="83"/>
      <c r="V495" s="146"/>
      <c r="W495" s="83"/>
      <c r="X495" s="83"/>
      <c r="Y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121"/>
      <c r="S496" s="83"/>
      <c r="T496" s="107"/>
      <c r="U496" s="83"/>
      <c r="V496" s="146"/>
      <c r="W496" s="83"/>
      <c r="X496" s="83"/>
      <c r="Y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121"/>
      <c r="S497" s="83"/>
      <c r="T497" s="107"/>
      <c r="U497" s="83"/>
      <c r="V497" s="146"/>
      <c r="W497" s="83"/>
      <c r="X497" s="83"/>
      <c r="Y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121"/>
      <c r="S498" s="83"/>
      <c r="T498" s="107"/>
      <c r="U498" s="83"/>
      <c r="V498" s="146"/>
      <c r="W498" s="83"/>
      <c r="X498" s="83"/>
      <c r="Y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121"/>
      <c r="S499" s="83"/>
      <c r="T499" s="107"/>
      <c r="U499" s="83"/>
      <c r="V499" s="146"/>
      <c r="W499" s="83"/>
      <c r="X499" s="83"/>
      <c r="Y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121"/>
      <c r="S500" s="83"/>
      <c r="T500" s="107"/>
      <c r="U500" s="83"/>
      <c r="V500" s="146"/>
      <c r="W500" s="83"/>
      <c r="X500" s="83"/>
      <c r="Y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121"/>
      <c r="S501" s="83"/>
      <c r="T501" s="107"/>
      <c r="U501" s="83"/>
      <c r="V501" s="146"/>
      <c r="W501" s="83"/>
      <c r="X501" s="83"/>
      <c r="Y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121"/>
      <c r="S502" s="83"/>
      <c r="T502" s="107"/>
      <c r="U502" s="83"/>
      <c r="V502" s="146"/>
      <c r="W502" s="83"/>
      <c r="X502" s="83"/>
      <c r="Y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121"/>
      <c r="S503" s="83"/>
      <c r="T503" s="107"/>
      <c r="U503" s="83"/>
      <c r="V503" s="146"/>
      <c r="W503" s="83"/>
      <c r="X503" s="83"/>
      <c r="Y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121"/>
      <c r="S504" s="83"/>
      <c r="T504" s="107"/>
      <c r="U504" s="83"/>
      <c r="V504" s="146"/>
      <c r="W504" s="83"/>
      <c r="X504" s="83"/>
      <c r="Y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121"/>
      <c r="S505" s="83"/>
      <c r="T505" s="107"/>
      <c r="U505" s="83"/>
      <c r="V505" s="146"/>
      <c r="W505" s="83"/>
      <c r="X505" s="83"/>
      <c r="Y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121"/>
      <c r="S506" s="83"/>
      <c r="T506" s="107"/>
      <c r="U506" s="83"/>
      <c r="V506" s="146"/>
      <c r="W506" s="83"/>
      <c r="X506" s="83"/>
      <c r="Y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121"/>
      <c r="S507" s="83"/>
      <c r="T507" s="107"/>
      <c r="U507" s="83"/>
      <c r="V507" s="146"/>
      <c r="W507" s="83"/>
      <c r="X507" s="83"/>
      <c r="Y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121"/>
      <c r="S508" s="83"/>
      <c r="T508" s="107"/>
      <c r="U508" s="83"/>
      <c r="V508" s="146"/>
      <c r="W508" s="83"/>
      <c r="X508" s="83"/>
      <c r="Y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121"/>
      <c r="S509" s="83"/>
      <c r="T509" s="107"/>
      <c r="U509" s="83"/>
      <c r="V509" s="146"/>
      <c r="W509" s="83"/>
      <c r="X509" s="83"/>
      <c r="Y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121"/>
      <c r="S510" s="83"/>
      <c r="T510" s="107"/>
      <c r="U510" s="83"/>
      <c r="V510" s="146"/>
      <c r="W510" s="83"/>
      <c r="X510" s="83"/>
      <c r="Y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121"/>
      <c r="S511" s="83"/>
      <c r="T511" s="107"/>
      <c r="U511" s="83"/>
      <c r="V511" s="146"/>
      <c r="W511" s="83"/>
      <c r="X511" s="83"/>
      <c r="Y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121"/>
      <c r="S512" s="83"/>
      <c r="T512" s="107"/>
      <c r="U512" s="83"/>
      <c r="V512" s="146"/>
      <c r="W512" s="83"/>
      <c r="X512" s="83"/>
      <c r="Y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121"/>
      <c r="S513" s="83"/>
      <c r="T513" s="107"/>
      <c r="U513" s="83"/>
      <c r="V513" s="146"/>
      <c r="W513" s="83"/>
      <c r="X513" s="83"/>
      <c r="Y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121"/>
      <c r="S514" s="83"/>
      <c r="T514" s="107"/>
      <c r="U514" s="83"/>
      <c r="V514" s="146"/>
      <c r="W514" s="83"/>
      <c r="X514" s="83"/>
      <c r="Y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121"/>
      <c r="S515" s="83"/>
      <c r="T515" s="107"/>
      <c r="U515" s="83"/>
      <c r="V515" s="146"/>
      <c r="W515" s="83"/>
      <c r="X515" s="83"/>
      <c r="Y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121"/>
      <c r="S516" s="83"/>
      <c r="T516" s="107"/>
      <c r="U516" s="83"/>
      <c r="V516" s="146"/>
      <c r="W516" s="83"/>
      <c r="X516" s="83"/>
      <c r="Y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121"/>
      <c r="S517" s="83"/>
      <c r="T517" s="107"/>
      <c r="U517" s="83"/>
      <c r="V517" s="146"/>
      <c r="W517" s="83"/>
      <c r="X517" s="83"/>
      <c r="Y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121"/>
      <c r="S518" s="83"/>
      <c r="T518" s="107"/>
      <c r="U518" s="83"/>
      <c r="V518" s="146"/>
      <c r="W518" s="83"/>
      <c r="X518" s="83"/>
      <c r="Y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121"/>
      <c r="S519" s="83"/>
      <c r="T519" s="107"/>
      <c r="U519" s="83"/>
      <c r="V519" s="146"/>
      <c r="W519" s="83"/>
      <c r="X519" s="83"/>
      <c r="Y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121"/>
      <c r="S520" s="83"/>
      <c r="T520" s="107"/>
      <c r="U520" s="83"/>
      <c r="V520" s="146"/>
      <c r="W520" s="83"/>
      <c r="X520" s="83"/>
      <c r="Y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121"/>
      <c r="S521" s="83"/>
      <c r="T521" s="107"/>
      <c r="U521" s="83"/>
      <c r="V521" s="146"/>
      <c r="W521" s="83"/>
      <c r="X521" s="83"/>
      <c r="Y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121"/>
      <c r="S522" s="83"/>
      <c r="T522" s="107"/>
      <c r="U522" s="83"/>
      <c r="V522" s="146"/>
      <c r="W522" s="83"/>
      <c r="X522" s="83"/>
      <c r="Y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121"/>
      <c r="S523" s="83"/>
      <c r="T523" s="107"/>
      <c r="U523" s="83"/>
      <c r="V523" s="146"/>
      <c r="W523" s="83"/>
      <c r="X523" s="83"/>
      <c r="Y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121"/>
      <c r="S524" s="83"/>
      <c r="T524" s="107"/>
      <c r="U524" s="83"/>
      <c r="V524" s="146"/>
      <c r="W524" s="83"/>
      <c r="X524" s="83"/>
      <c r="Y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121"/>
      <c r="S525" s="83"/>
      <c r="T525" s="107"/>
      <c r="U525" s="83"/>
      <c r="V525" s="146"/>
      <c r="W525" s="83"/>
      <c r="X525" s="83"/>
      <c r="Y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121"/>
      <c r="S526" s="83"/>
      <c r="T526" s="107"/>
      <c r="U526" s="83"/>
      <c r="V526" s="146"/>
      <c r="W526" s="83"/>
      <c r="X526" s="83"/>
      <c r="Y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121"/>
      <c r="S527" s="83"/>
      <c r="T527" s="107"/>
      <c r="U527" s="83"/>
      <c r="V527" s="146"/>
      <c r="W527" s="83"/>
      <c r="X527" s="83"/>
      <c r="Y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121"/>
      <c r="S528" s="83"/>
      <c r="T528" s="107"/>
      <c r="U528" s="83"/>
      <c r="V528" s="146"/>
      <c r="W528" s="83"/>
      <c r="X528" s="83"/>
      <c r="Y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121"/>
      <c r="S529" s="83"/>
      <c r="T529" s="107"/>
      <c r="U529" s="83"/>
      <c r="V529" s="146"/>
      <c r="W529" s="83"/>
      <c r="X529" s="83"/>
      <c r="Y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121"/>
      <c r="S530" s="83"/>
      <c r="T530" s="107"/>
      <c r="U530" s="83"/>
      <c r="V530" s="146"/>
      <c r="W530" s="83"/>
      <c r="X530" s="83"/>
      <c r="Y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121"/>
      <c r="S531" s="83"/>
      <c r="T531" s="107"/>
      <c r="U531" s="83"/>
      <c r="V531" s="146"/>
      <c r="W531" s="83"/>
      <c r="X531" s="83"/>
      <c r="Y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121"/>
      <c r="S532" s="83"/>
      <c r="T532" s="107"/>
      <c r="U532" s="83"/>
      <c r="V532" s="146"/>
      <c r="W532" s="83"/>
      <c r="X532" s="83"/>
      <c r="Y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121"/>
      <c r="S533" s="83"/>
      <c r="T533" s="107"/>
      <c r="U533" s="83"/>
      <c r="V533" s="146"/>
      <c r="W533" s="83"/>
      <c r="X533" s="83"/>
      <c r="Y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121"/>
      <c r="S534" s="83"/>
      <c r="T534" s="107"/>
      <c r="U534" s="83"/>
      <c r="V534" s="146"/>
      <c r="W534" s="83"/>
      <c r="X534" s="83"/>
      <c r="Y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121"/>
      <c r="S535" s="83"/>
      <c r="T535" s="107"/>
      <c r="U535" s="83"/>
      <c r="V535" s="146"/>
      <c r="W535" s="83"/>
      <c r="X535" s="83"/>
      <c r="Y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121"/>
      <c r="S536" s="83"/>
      <c r="T536" s="107"/>
      <c r="U536" s="83"/>
      <c r="V536" s="146"/>
      <c r="W536" s="83"/>
      <c r="X536" s="83"/>
      <c r="Y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121"/>
      <c r="S537" s="83"/>
      <c r="T537" s="107"/>
      <c r="U537" s="83"/>
      <c r="V537" s="146"/>
      <c r="W537" s="83"/>
      <c r="X537" s="83"/>
      <c r="Y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121"/>
      <c r="S538" s="83"/>
      <c r="T538" s="107"/>
      <c r="U538" s="83"/>
      <c r="V538" s="146"/>
      <c r="W538" s="83"/>
      <c r="X538" s="83"/>
      <c r="Y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121"/>
      <c r="S539" s="83"/>
      <c r="T539" s="107"/>
      <c r="U539" s="83"/>
      <c r="V539" s="146"/>
      <c r="W539" s="83"/>
      <c r="X539" s="83"/>
      <c r="Y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121"/>
      <c r="S540" s="83"/>
      <c r="T540" s="107"/>
      <c r="U540" s="83"/>
      <c r="V540" s="146"/>
      <c r="W540" s="83"/>
      <c r="X540" s="83"/>
      <c r="Y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121"/>
      <c r="S541" s="83"/>
      <c r="T541" s="107"/>
      <c r="U541" s="83"/>
      <c r="V541" s="146"/>
      <c r="W541" s="83"/>
      <c r="X541" s="83"/>
      <c r="Y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121"/>
      <c r="S542" s="83"/>
      <c r="T542" s="107"/>
      <c r="U542" s="83"/>
      <c r="V542" s="146"/>
      <c r="W542" s="83"/>
      <c r="X542" s="83"/>
      <c r="Y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121"/>
      <c r="S543" s="83"/>
      <c r="T543" s="107"/>
      <c r="U543" s="83"/>
      <c r="V543" s="146"/>
      <c r="W543" s="83"/>
      <c r="X543" s="83"/>
      <c r="Y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121"/>
      <c r="S544" s="83"/>
      <c r="T544" s="107"/>
      <c r="U544" s="83"/>
      <c r="V544" s="146"/>
      <c r="W544" s="83"/>
      <c r="X544" s="83"/>
      <c r="Y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121"/>
      <c r="S545" s="83"/>
      <c r="T545" s="107"/>
      <c r="U545" s="83"/>
      <c r="V545" s="146"/>
      <c r="W545" s="83"/>
      <c r="X545" s="83"/>
      <c r="Y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121"/>
      <c r="S546" s="83"/>
      <c r="T546" s="107"/>
      <c r="U546" s="83"/>
      <c r="V546" s="146"/>
      <c r="W546" s="83"/>
      <c r="X546" s="83"/>
      <c r="Y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121"/>
      <c r="S547" s="83"/>
      <c r="T547" s="107"/>
      <c r="U547" s="83"/>
      <c r="V547" s="146"/>
      <c r="W547" s="83"/>
      <c r="X547" s="83"/>
      <c r="Y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121"/>
      <c r="S548" s="83"/>
      <c r="T548" s="107"/>
      <c r="U548" s="83"/>
      <c r="V548" s="146"/>
      <c r="W548" s="83"/>
      <c r="X548" s="83"/>
      <c r="Y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121"/>
      <c r="S549" s="83"/>
      <c r="T549" s="107"/>
      <c r="U549" s="83"/>
      <c r="V549" s="146"/>
      <c r="W549" s="83"/>
      <c r="X549" s="83"/>
      <c r="Y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121"/>
      <c r="S550" s="83"/>
      <c r="T550" s="107"/>
      <c r="U550" s="83"/>
      <c r="V550" s="146"/>
      <c r="W550" s="83"/>
      <c r="X550" s="83"/>
      <c r="Y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121"/>
      <c r="S551" s="83"/>
      <c r="T551" s="107"/>
      <c r="U551" s="83"/>
      <c r="V551" s="146"/>
      <c r="W551" s="83"/>
      <c r="X551" s="83"/>
      <c r="Y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121"/>
      <c r="S552" s="83"/>
      <c r="T552" s="107"/>
      <c r="U552" s="83"/>
      <c r="V552" s="146"/>
      <c r="W552" s="83"/>
      <c r="X552" s="83"/>
      <c r="Y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121"/>
      <c r="S553" s="83"/>
      <c r="T553" s="107"/>
      <c r="U553" s="83"/>
      <c r="V553" s="146"/>
      <c r="W553" s="83"/>
      <c r="X553" s="83"/>
      <c r="Y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121"/>
      <c r="S554" s="83"/>
      <c r="T554" s="107"/>
      <c r="U554" s="83"/>
      <c r="V554" s="146"/>
      <c r="W554" s="83"/>
      <c r="X554" s="83"/>
      <c r="Y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121"/>
      <c r="S555" s="83"/>
      <c r="T555" s="107"/>
      <c r="U555" s="83"/>
      <c r="V555" s="146"/>
      <c r="W555" s="83"/>
      <c r="X555" s="83"/>
      <c r="Y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121"/>
      <c r="S556" s="83"/>
      <c r="T556" s="107"/>
      <c r="U556" s="83"/>
      <c r="V556" s="146"/>
      <c r="W556" s="83"/>
      <c r="X556" s="83"/>
      <c r="Y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121"/>
      <c r="S557" s="83"/>
      <c r="T557" s="107"/>
      <c r="U557" s="83"/>
      <c r="V557" s="146"/>
      <c r="W557" s="83"/>
      <c r="X557" s="83"/>
      <c r="Y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121"/>
      <c r="S558" s="83"/>
      <c r="T558" s="107"/>
      <c r="U558" s="83"/>
      <c r="V558" s="146"/>
      <c r="W558" s="83"/>
      <c r="X558" s="83"/>
      <c r="Y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121"/>
      <c r="S559" s="83"/>
      <c r="T559" s="107"/>
      <c r="U559" s="83"/>
      <c r="V559" s="146"/>
      <c r="W559" s="83"/>
      <c r="X559" s="83"/>
      <c r="Y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121"/>
      <c r="S560" s="83"/>
      <c r="T560" s="107"/>
      <c r="U560" s="83"/>
      <c r="V560" s="146"/>
      <c r="W560" s="83"/>
      <c r="X560" s="83"/>
      <c r="Y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121"/>
      <c r="S561" s="83"/>
      <c r="T561" s="107"/>
      <c r="U561" s="83"/>
      <c r="V561" s="146"/>
      <c r="W561" s="83"/>
      <c r="X561" s="83"/>
      <c r="Y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121"/>
      <c r="S562" s="83"/>
      <c r="T562" s="107"/>
      <c r="U562" s="83"/>
      <c r="V562" s="146"/>
      <c r="W562" s="83"/>
      <c r="X562" s="83"/>
      <c r="Y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121"/>
      <c r="S563" s="83"/>
      <c r="T563" s="107"/>
      <c r="U563" s="83"/>
      <c r="V563" s="146"/>
      <c r="W563" s="83"/>
      <c r="X563" s="83"/>
      <c r="Y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121"/>
      <c r="S564" s="83"/>
      <c r="T564" s="107"/>
      <c r="U564" s="83"/>
      <c r="V564" s="146"/>
      <c r="W564" s="83"/>
      <c r="X564" s="83"/>
      <c r="Y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121"/>
      <c r="S565" s="83"/>
      <c r="T565" s="107"/>
      <c r="U565" s="83"/>
      <c r="V565" s="146"/>
      <c r="W565" s="83"/>
      <c r="X565" s="83"/>
      <c r="Y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121"/>
      <c r="S566" s="83"/>
      <c r="T566" s="107"/>
      <c r="U566" s="83"/>
      <c r="V566" s="146"/>
      <c r="W566" s="83"/>
      <c r="X566" s="83"/>
      <c r="Y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121"/>
      <c r="S567" s="83"/>
      <c r="T567" s="107"/>
      <c r="U567" s="83"/>
      <c r="V567" s="146"/>
      <c r="W567" s="83"/>
      <c r="X567" s="83"/>
      <c r="Y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121"/>
      <c r="S568" s="83"/>
      <c r="T568" s="107"/>
      <c r="U568" s="83"/>
      <c r="V568" s="146"/>
      <c r="W568" s="83"/>
      <c r="X568" s="83"/>
      <c r="Y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121"/>
      <c r="S569" s="83"/>
      <c r="T569" s="107"/>
      <c r="U569" s="83"/>
      <c r="V569" s="146"/>
      <c r="W569" s="83"/>
      <c r="X569" s="83"/>
      <c r="Y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121"/>
      <c r="S570" s="83"/>
      <c r="T570" s="107"/>
      <c r="U570" s="83"/>
      <c r="V570" s="146"/>
      <c r="W570" s="83"/>
      <c r="X570" s="83"/>
      <c r="Y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121"/>
      <c r="S571" s="83"/>
      <c r="T571" s="107"/>
      <c r="U571" s="83"/>
      <c r="V571" s="146"/>
      <c r="W571" s="83"/>
      <c r="X571" s="83"/>
      <c r="Y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121"/>
      <c r="S572" s="83"/>
      <c r="T572" s="107"/>
      <c r="U572" s="83"/>
      <c r="V572" s="146"/>
      <c r="W572" s="83"/>
      <c r="X572" s="83"/>
      <c r="Y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121"/>
      <c r="S573" s="83"/>
      <c r="T573" s="107"/>
      <c r="U573" s="83"/>
      <c r="V573" s="146"/>
      <c r="W573" s="83"/>
      <c r="X573" s="83"/>
      <c r="Y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121"/>
      <c r="S574" s="83"/>
      <c r="T574" s="107"/>
      <c r="U574" s="83"/>
      <c r="V574" s="146"/>
      <c r="W574" s="83"/>
      <c r="X574" s="83"/>
      <c r="Y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121"/>
      <c r="S575" s="83"/>
      <c r="T575" s="107"/>
      <c r="U575" s="83"/>
      <c r="V575" s="146"/>
      <c r="W575" s="83"/>
      <c r="X575" s="83"/>
      <c r="Y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121"/>
      <c r="S576" s="83"/>
      <c r="T576" s="107"/>
      <c r="U576" s="83"/>
      <c r="V576" s="146"/>
      <c r="W576" s="83"/>
      <c r="X576" s="83"/>
      <c r="Y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121"/>
      <c r="S577" s="83"/>
      <c r="T577" s="107"/>
      <c r="U577" s="83"/>
      <c r="V577" s="146"/>
      <c r="W577" s="83"/>
      <c r="X577" s="83"/>
      <c r="Y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121"/>
      <c r="S578" s="83"/>
      <c r="T578" s="107"/>
      <c r="U578" s="83"/>
      <c r="V578" s="146"/>
      <c r="W578" s="83"/>
      <c r="X578" s="83"/>
      <c r="Y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121"/>
      <c r="S579" s="83"/>
      <c r="T579" s="107"/>
      <c r="U579" s="83"/>
      <c r="V579" s="146"/>
      <c r="W579" s="83"/>
      <c r="X579" s="83"/>
      <c r="Y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121"/>
      <c r="S580" s="83"/>
      <c r="T580" s="107"/>
      <c r="U580" s="83"/>
      <c r="V580" s="146"/>
      <c r="W580" s="83"/>
      <c r="X580" s="83"/>
      <c r="Y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121"/>
      <c r="S581" s="83"/>
      <c r="T581" s="107"/>
      <c r="U581" s="83"/>
      <c r="V581" s="146"/>
      <c r="W581" s="83"/>
      <c r="X581" s="83"/>
      <c r="Y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121"/>
      <c r="S582" s="83"/>
      <c r="T582" s="107"/>
      <c r="U582" s="83"/>
      <c r="V582" s="146"/>
      <c r="W582" s="83"/>
      <c r="X582" s="83"/>
      <c r="Y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121"/>
      <c r="S583" s="83"/>
      <c r="T583" s="107"/>
      <c r="U583" s="83"/>
      <c r="V583" s="146"/>
      <c r="W583" s="83"/>
      <c r="X583" s="83"/>
      <c r="Y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121"/>
      <c r="S584" s="83"/>
      <c r="T584" s="107"/>
      <c r="U584" s="83"/>
      <c r="V584" s="146"/>
      <c r="W584" s="83"/>
      <c r="X584" s="83"/>
      <c r="Y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121"/>
      <c r="S585" s="83"/>
      <c r="T585" s="107"/>
      <c r="U585" s="83"/>
      <c r="V585" s="146"/>
      <c r="W585" s="83"/>
      <c r="X585" s="83"/>
      <c r="Y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121"/>
      <c r="S586" s="83"/>
      <c r="T586" s="107"/>
      <c r="U586" s="83"/>
      <c r="V586" s="146"/>
      <c r="W586" s="83"/>
      <c r="X586" s="83"/>
      <c r="Y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121"/>
      <c r="S587" s="83"/>
      <c r="T587" s="107"/>
      <c r="U587" s="83"/>
      <c r="V587" s="146"/>
      <c r="W587" s="83"/>
      <c r="X587" s="83"/>
      <c r="Y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121"/>
      <c r="S588" s="83"/>
      <c r="T588" s="107"/>
      <c r="U588" s="83"/>
      <c r="V588" s="146"/>
      <c r="W588" s="83"/>
      <c r="X588" s="83"/>
      <c r="Y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121"/>
      <c r="S589" s="83"/>
      <c r="T589" s="107"/>
      <c r="U589" s="83"/>
      <c r="V589" s="146"/>
      <c r="W589" s="83"/>
      <c r="X589" s="83"/>
      <c r="Y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121"/>
      <c r="S590" s="83"/>
      <c r="T590" s="107"/>
      <c r="U590" s="83"/>
      <c r="V590" s="146"/>
      <c r="W590" s="83"/>
      <c r="X590" s="83"/>
      <c r="Y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121"/>
      <c r="S591" s="83"/>
      <c r="T591" s="107"/>
      <c r="U591" s="83"/>
      <c r="V591" s="146"/>
      <c r="W591" s="83"/>
      <c r="X591" s="83"/>
      <c r="Y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121"/>
      <c r="S592" s="83"/>
      <c r="T592" s="107"/>
      <c r="U592" s="83"/>
      <c r="V592" s="146"/>
      <c r="W592" s="83"/>
      <c r="X592" s="83"/>
      <c r="Y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121"/>
      <c r="S593" s="83"/>
      <c r="T593" s="107"/>
      <c r="U593" s="83"/>
      <c r="V593" s="146"/>
      <c r="W593" s="83"/>
      <c r="X593" s="83"/>
      <c r="Y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121"/>
      <c r="S594" s="83"/>
      <c r="T594" s="107"/>
      <c r="U594" s="83"/>
      <c r="V594" s="146"/>
      <c r="W594" s="83"/>
      <c r="X594" s="83"/>
      <c r="Y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121"/>
      <c r="S595" s="83"/>
      <c r="T595" s="107"/>
      <c r="U595" s="83"/>
      <c r="V595" s="146"/>
      <c r="W595" s="83"/>
      <c r="X595" s="83"/>
      <c r="Y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121"/>
      <c r="S596" s="83"/>
      <c r="T596" s="107"/>
      <c r="U596" s="83"/>
      <c r="V596" s="146"/>
      <c r="W596" s="83"/>
      <c r="X596" s="83"/>
      <c r="Y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121"/>
      <c r="S597" s="83"/>
      <c r="T597" s="107"/>
      <c r="U597" s="83"/>
      <c r="V597" s="146"/>
      <c r="W597" s="83"/>
      <c r="X597" s="83"/>
      <c r="Y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121"/>
      <c r="S598" s="83"/>
      <c r="T598" s="107"/>
      <c r="U598" s="83"/>
      <c r="V598" s="146"/>
      <c r="W598" s="83"/>
      <c r="X598" s="83"/>
      <c r="Y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121"/>
      <c r="S599" s="83"/>
      <c r="T599" s="107"/>
      <c r="U599" s="83"/>
      <c r="V599" s="146"/>
      <c r="W599" s="83"/>
      <c r="X599" s="83"/>
      <c r="Y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121"/>
      <c r="S600" s="83"/>
      <c r="T600" s="107"/>
      <c r="U600" s="83"/>
      <c r="V600" s="146"/>
      <c r="W600" s="83"/>
      <c r="X600" s="83"/>
      <c r="Y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121"/>
      <c r="S601" s="83"/>
      <c r="T601" s="107"/>
      <c r="U601" s="83"/>
      <c r="V601" s="146"/>
      <c r="W601" s="83"/>
      <c r="X601" s="83"/>
      <c r="Y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121"/>
      <c r="S602" s="83"/>
      <c r="T602" s="107"/>
      <c r="U602" s="83"/>
      <c r="V602" s="146"/>
      <c r="W602" s="83"/>
      <c r="X602" s="83"/>
      <c r="Y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121"/>
      <c r="S603" s="83"/>
      <c r="T603" s="107"/>
      <c r="U603" s="83"/>
      <c r="V603" s="146"/>
      <c r="W603" s="83"/>
      <c r="X603" s="83"/>
      <c r="Y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121"/>
      <c r="S604" s="83"/>
      <c r="T604" s="107"/>
      <c r="U604" s="83"/>
      <c r="V604" s="146"/>
      <c r="W604" s="83"/>
      <c r="X604" s="83"/>
      <c r="Y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121"/>
      <c r="S605" s="83"/>
      <c r="T605" s="107"/>
      <c r="U605" s="83"/>
      <c r="V605" s="146"/>
      <c r="W605" s="83"/>
      <c r="X605" s="83"/>
      <c r="Y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121"/>
      <c r="S606" s="83"/>
      <c r="T606" s="107"/>
      <c r="U606" s="83"/>
      <c r="V606" s="146"/>
      <c r="W606" s="83"/>
      <c r="X606" s="83"/>
      <c r="Y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121"/>
      <c r="S607" s="83"/>
      <c r="T607" s="107"/>
      <c r="U607" s="83"/>
      <c r="V607" s="146"/>
      <c r="W607" s="83"/>
      <c r="X607" s="83"/>
      <c r="Y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121"/>
      <c r="S608" s="83"/>
      <c r="T608" s="107"/>
      <c r="U608" s="83"/>
      <c r="V608" s="146"/>
      <c r="W608" s="83"/>
      <c r="X608" s="83"/>
      <c r="Y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121"/>
      <c r="S609" s="83"/>
      <c r="T609" s="107"/>
      <c r="U609" s="83"/>
      <c r="V609" s="146"/>
      <c r="W609" s="83"/>
      <c r="X609" s="83"/>
      <c r="Y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121"/>
      <c r="S610" s="83"/>
      <c r="T610" s="107"/>
      <c r="U610" s="83"/>
      <c r="V610" s="146"/>
      <c r="W610" s="83"/>
      <c r="X610" s="83"/>
      <c r="Y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121"/>
      <c r="S611" s="83"/>
      <c r="T611" s="107"/>
      <c r="U611" s="83"/>
      <c r="V611" s="146"/>
      <c r="W611" s="83"/>
      <c r="X611" s="83"/>
      <c r="Y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121"/>
      <c r="S612" s="83"/>
      <c r="T612" s="107"/>
      <c r="U612" s="83"/>
      <c r="V612" s="146"/>
      <c r="W612" s="83"/>
      <c r="X612" s="83"/>
      <c r="Y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121"/>
      <c r="S613" s="83"/>
      <c r="T613" s="107"/>
      <c r="U613" s="83"/>
      <c r="V613" s="146"/>
      <c r="W613" s="83"/>
      <c r="X613" s="83"/>
      <c r="Y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121"/>
      <c r="S614" s="83"/>
      <c r="T614" s="107"/>
      <c r="U614" s="83"/>
      <c r="V614" s="146"/>
      <c r="W614" s="83"/>
      <c r="X614" s="83"/>
      <c r="Y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121"/>
      <c r="S615" s="83"/>
      <c r="T615" s="107"/>
      <c r="U615" s="83"/>
      <c r="V615" s="146"/>
      <c r="W615" s="83"/>
      <c r="X615" s="83"/>
      <c r="Y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121"/>
      <c r="S616" s="83"/>
      <c r="T616" s="107"/>
      <c r="U616" s="83"/>
      <c r="V616" s="146"/>
      <c r="W616" s="83"/>
      <c r="X616" s="83"/>
      <c r="Y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121"/>
      <c r="S617" s="83"/>
      <c r="T617" s="107"/>
      <c r="U617" s="83"/>
      <c r="V617" s="146"/>
      <c r="W617" s="83"/>
      <c r="X617" s="83"/>
      <c r="Y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121"/>
      <c r="S618" s="83"/>
      <c r="T618" s="107"/>
      <c r="U618" s="83"/>
      <c r="V618" s="146"/>
      <c r="W618" s="83"/>
      <c r="X618" s="83"/>
      <c r="Y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121"/>
      <c r="S619" s="83"/>
      <c r="T619" s="107"/>
      <c r="U619" s="83"/>
      <c r="V619" s="146"/>
      <c r="W619" s="83"/>
      <c r="X619" s="83"/>
      <c r="Y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121"/>
      <c r="S620" s="83"/>
      <c r="T620" s="107"/>
      <c r="U620" s="83"/>
      <c r="V620" s="146"/>
      <c r="W620" s="83"/>
      <c r="X620" s="83"/>
      <c r="Y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121"/>
      <c r="S621" s="83"/>
      <c r="T621" s="107"/>
      <c r="U621" s="83"/>
      <c r="V621" s="146"/>
      <c r="W621" s="83"/>
      <c r="X621" s="83"/>
      <c r="Y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121"/>
      <c r="S622" s="83"/>
      <c r="T622" s="107"/>
      <c r="U622" s="83"/>
      <c r="V622" s="146"/>
      <c r="W622" s="83"/>
      <c r="X622" s="83"/>
      <c r="Y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121"/>
      <c r="S623" s="83"/>
      <c r="T623" s="107"/>
      <c r="U623" s="83"/>
      <c r="V623" s="146"/>
      <c r="W623" s="83"/>
      <c r="X623" s="83"/>
      <c r="Y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121"/>
      <c r="S624" s="83"/>
      <c r="T624" s="107"/>
      <c r="U624" s="83"/>
      <c r="V624" s="146"/>
      <c r="W624" s="83"/>
      <c r="X624" s="83"/>
      <c r="Y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121"/>
      <c r="S625" s="83"/>
      <c r="T625" s="107"/>
      <c r="U625" s="83"/>
      <c r="V625" s="146"/>
      <c r="W625" s="83"/>
      <c r="X625" s="83"/>
      <c r="Y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121"/>
      <c r="S626" s="83"/>
      <c r="T626" s="107"/>
      <c r="U626" s="83"/>
      <c r="V626" s="146"/>
      <c r="W626" s="83"/>
      <c r="X626" s="83"/>
      <c r="Y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121"/>
      <c r="S627" s="83"/>
      <c r="T627" s="107"/>
      <c r="U627" s="83"/>
      <c r="V627" s="146"/>
      <c r="W627" s="83"/>
      <c r="X627" s="83"/>
      <c r="Y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121"/>
      <c r="S628" s="83"/>
      <c r="T628" s="107"/>
      <c r="U628" s="83"/>
      <c r="V628" s="146"/>
      <c r="W628" s="83"/>
      <c r="X628" s="83"/>
      <c r="Y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121"/>
      <c r="S629" s="83"/>
      <c r="T629" s="107"/>
      <c r="U629" s="83"/>
      <c r="V629" s="146"/>
      <c r="W629" s="83"/>
      <c r="X629" s="83"/>
      <c r="Y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121"/>
      <c r="S630" s="83"/>
      <c r="T630" s="107"/>
      <c r="U630" s="83"/>
      <c r="V630" s="146"/>
      <c r="W630" s="83"/>
      <c r="X630" s="83"/>
      <c r="Y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121"/>
      <c r="S631" s="83"/>
      <c r="T631" s="107"/>
      <c r="U631" s="83"/>
      <c r="V631" s="146"/>
      <c r="W631" s="83"/>
      <c r="X631" s="83"/>
      <c r="Y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121"/>
      <c r="S632" s="83"/>
      <c r="T632" s="107"/>
      <c r="U632" s="83"/>
      <c r="V632" s="146"/>
      <c r="W632" s="83"/>
      <c r="X632" s="83"/>
      <c r="Y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121"/>
      <c r="S633" s="83"/>
      <c r="T633" s="107"/>
      <c r="U633" s="83"/>
      <c r="V633" s="146"/>
      <c r="W633" s="83"/>
      <c r="X633" s="83"/>
      <c r="Y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121"/>
      <c r="S634" s="83"/>
      <c r="T634" s="107"/>
      <c r="U634" s="83"/>
      <c r="V634" s="146"/>
      <c r="W634" s="83"/>
      <c r="X634" s="83"/>
      <c r="Y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121"/>
      <c r="S635" s="83"/>
      <c r="T635" s="107"/>
      <c r="U635" s="83"/>
      <c r="V635" s="146"/>
      <c r="W635" s="83"/>
      <c r="X635" s="83"/>
      <c r="Y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121"/>
      <c r="S636" s="83"/>
      <c r="T636" s="107"/>
      <c r="U636" s="83"/>
      <c r="V636" s="146"/>
      <c r="W636" s="83"/>
      <c r="X636" s="83"/>
      <c r="Y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121"/>
      <c r="S637" s="83"/>
      <c r="T637" s="107"/>
      <c r="U637" s="83"/>
      <c r="V637" s="146"/>
      <c r="W637" s="83"/>
      <c r="X637" s="83"/>
      <c r="Y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121"/>
      <c r="S638" s="83"/>
      <c r="T638" s="107"/>
      <c r="U638" s="83"/>
      <c r="V638" s="146"/>
      <c r="W638" s="83"/>
      <c r="X638" s="83"/>
      <c r="Y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121"/>
      <c r="S639" s="83"/>
      <c r="T639" s="107"/>
      <c r="U639" s="83"/>
      <c r="V639" s="146"/>
      <c r="W639" s="83"/>
      <c r="X639" s="83"/>
      <c r="Y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121"/>
      <c r="S640" s="83"/>
      <c r="T640" s="107"/>
      <c r="U640" s="83"/>
      <c r="V640" s="146"/>
      <c r="W640" s="83"/>
      <c r="X640" s="83"/>
      <c r="Y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121"/>
      <c r="S641" s="83"/>
      <c r="T641" s="107"/>
      <c r="U641" s="83"/>
      <c r="V641" s="146"/>
      <c r="W641" s="83"/>
      <c r="X641" s="83"/>
      <c r="Y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121"/>
      <c r="S642" s="83"/>
      <c r="T642" s="107"/>
      <c r="U642" s="83"/>
      <c r="V642" s="146"/>
      <c r="W642" s="83"/>
      <c r="X642" s="83"/>
      <c r="Y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121"/>
      <c r="S643" s="83"/>
      <c r="T643" s="107"/>
      <c r="U643" s="83"/>
      <c r="V643" s="146"/>
      <c r="W643" s="83"/>
      <c r="X643" s="83"/>
      <c r="Y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121"/>
      <c r="S644" s="83"/>
      <c r="T644" s="107"/>
      <c r="U644" s="83"/>
      <c r="V644" s="146"/>
      <c r="W644" s="83"/>
      <c r="X644" s="83"/>
      <c r="Y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121"/>
      <c r="S645" s="83"/>
      <c r="T645" s="107"/>
      <c r="U645" s="83"/>
      <c r="V645" s="146"/>
      <c r="W645" s="83"/>
      <c r="X645" s="83"/>
      <c r="Y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121"/>
      <c r="S646" s="83"/>
      <c r="T646" s="107"/>
      <c r="U646" s="83"/>
      <c r="V646" s="146"/>
      <c r="W646" s="83"/>
      <c r="X646" s="83"/>
      <c r="Y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121"/>
      <c r="S647" s="83"/>
      <c r="T647" s="107"/>
      <c r="U647" s="83"/>
      <c r="V647" s="146"/>
      <c r="W647" s="83"/>
      <c r="X647" s="83"/>
      <c r="Y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121"/>
      <c r="S648" s="83"/>
      <c r="T648" s="107"/>
      <c r="U648" s="83"/>
      <c r="V648" s="146"/>
      <c r="W648" s="83"/>
      <c r="X648" s="83"/>
      <c r="Y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121"/>
      <c r="S649" s="83"/>
      <c r="T649" s="107"/>
      <c r="U649" s="83"/>
      <c r="V649" s="146"/>
      <c r="W649" s="83"/>
      <c r="X649" s="83"/>
      <c r="Y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121"/>
      <c r="S650" s="83"/>
      <c r="T650" s="107"/>
      <c r="U650" s="83"/>
      <c r="V650" s="146"/>
      <c r="W650" s="83"/>
      <c r="X650" s="83"/>
      <c r="Y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121"/>
      <c r="S651" s="83"/>
      <c r="T651" s="107"/>
      <c r="U651" s="83"/>
      <c r="V651" s="146"/>
      <c r="W651" s="83"/>
      <c r="X651" s="83"/>
      <c r="Y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121"/>
      <c r="S652" s="83"/>
      <c r="T652" s="107"/>
      <c r="U652" s="83"/>
      <c r="V652" s="146"/>
      <c r="W652" s="83"/>
      <c r="X652" s="83"/>
      <c r="Y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121"/>
      <c r="S653" s="83"/>
      <c r="T653" s="107"/>
      <c r="U653" s="83"/>
      <c r="V653" s="146"/>
      <c r="W653" s="83"/>
      <c r="X653" s="83"/>
      <c r="Y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121"/>
      <c r="S654" s="83"/>
      <c r="T654" s="107"/>
      <c r="U654" s="83"/>
      <c r="V654" s="146"/>
      <c r="W654" s="83"/>
      <c r="X654" s="83"/>
      <c r="Y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121"/>
      <c r="S655" s="83"/>
      <c r="T655" s="107"/>
      <c r="U655" s="83"/>
      <c r="V655" s="146"/>
      <c r="W655" s="83"/>
      <c r="X655" s="83"/>
      <c r="Y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121"/>
      <c r="S656" s="83"/>
      <c r="T656" s="107"/>
      <c r="U656" s="83"/>
      <c r="V656" s="146"/>
      <c r="W656" s="83"/>
      <c r="X656" s="83"/>
      <c r="Y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121"/>
      <c r="S657" s="83"/>
      <c r="T657" s="107"/>
      <c r="U657" s="83"/>
      <c r="V657" s="146"/>
      <c r="W657" s="83"/>
      <c r="X657" s="83"/>
      <c r="Y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121"/>
      <c r="S658" s="83"/>
      <c r="T658" s="107"/>
      <c r="U658" s="83"/>
      <c r="V658" s="146"/>
      <c r="W658" s="83"/>
      <c r="X658" s="83"/>
      <c r="Y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121"/>
      <c r="S659" s="83"/>
      <c r="T659" s="107"/>
      <c r="U659" s="83"/>
      <c r="V659" s="146"/>
      <c r="W659" s="83"/>
      <c r="X659" s="83"/>
      <c r="Y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121"/>
      <c r="S660" s="83"/>
      <c r="T660" s="107"/>
      <c r="U660" s="83"/>
      <c r="V660" s="146"/>
      <c r="W660" s="83"/>
      <c r="X660" s="83"/>
      <c r="Y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121"/>
      <c r="S661" s="83"/>
      <c r="T661" s="107"/>
      <c r="U661" s="83"/>
      <c r="V661" s="146"/>
      <c r="W661" s="83"/>
      <c r="X661" s="83"/>
      <c r="Y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121"/>
      <c r="S662" s="83"/>
      <c r="T662" s="107"/>
      <c r="U662" s="83"/>
      <c r="V662" s="146"/>
      <c r="W662" s="83"/>
      <c r="X662" s="83"/>
      <c r="Y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121"/>
      <c r="S663" s="83"/>
      <c r="T663" s="107"/>
      <c r="U663" s="83"/>
      <c r="V663" s="146"/>
      <c r="W663" s="83"/>
      <c r="X663" s="83"/>
      <c r="Y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121"/>
      <c r="S664" s="83"/>
      <c r="T664" s="107"/>
      <c r="U664" s="83"/>
      <c r="V664" s="146"/>
      <c r="W664" s="83"/>
      <c r="X664" s="83"/>
      <c r="Y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121"/>
      <c r="S665" s="83"/>
      <c r="T665" s="107"/>
      <c r="U665" s="83"/>
      <c r="V665" s="146"/>
      <c r="W665" s="83"/>
      <c r="X665" s="83"/>
      <c r="Y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121"/>
      <c r="S666" s="83"/>
      <c r="T666" s="107"/>
      <c r="U666" s="83"/>
      <c r="V666" s="146"/>
      <c r="W666" s="83"/>
      <c r="X666" s="83"/>
      <c r="Y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121"/>
      <c r="S667" s="83"/>
      <c r="T667" s="107"/>
      <c r="U667" s="83"/>
      <c r="V667" s="146"/>
      <c r="W667" s="83"/>
      <c r="X667" s="83"/>
      <c r="Y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121"/>
      <c r="S668" s="83"/>
      <c r="T668" s="107"/>
      <c r="U668" s="83"/>
      <c r="V668" s="146"/>
      <c r="W668" s="83"/>
      <c r="X668" s="83"/>
      <c r="Y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121"/>
      <c r="S669" s="83"/>
      <c r="T669" s="107"/>
      <c r="U669" s="83"/>
      <c r="V669" s="146"/>
      <c r="W669" s="83"/>
      <c r="X669" s="83"/>
      <c r="Y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121"/>
      <c r="S670" s="83"/>
      <c r="T670" s="107"/>
      <c r="U670" s="83"/>
      <c r="V670" s="146"/>
      <c r="W670" s="83"/>
      <c r="X670" s="83"/>
      <c r="Y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121"/>
      <c r="S671" s="83"/>
      <c r="T671" s="107"/>
      <c r="U671" s="83"/>
      <c r="V671" s="146"/>
      <c r="W671" s="83"/>
      <c r="X671" s="83"/>
      <c r="Y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121"/>
      <c r="S672" s="83"/>
      <c r="T672" s="107"/>
      <c r="U672" s="83"/>
      <c r="V672" s="146"/>
      <c r="W672" s="83"/>
      <c r="X672" s="83"/>
      <c r="Y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121"/>
      <c r="S673" s="83"/>
      <c r="T673" s="107"/>
      <c r="U673" s="83"/>
      <c r="V673" s="146"/>
      <c r="W673" s="83"/>
      <c r="X673" s="83"/>
      <c r="Y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121"/>
      <c r="S674" s="83"/>
      <c r="T674" s="107"/>
      <c r="U674" s="83"/>
      <c r="V674" s="146"/>
      <c r="W674" s="83"/>
      <c r="X674" s="83"/>
      <c r="Y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121"/>
      <c r="S675" s="83"/>
      <c r="T675" s="107"/>
      <c r="U675" s="83"/>
      <c r="V675" s="146"/>
      <c r="W675" s="83"/>
      <c r="X675" s="83"/>
      <c r="Y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121"/>
      <c r="S676" s="83"/>
      <c r="T676" s="107"/>
      <c r="U676" s="83"/>
      <c r="V676" s="146"/>
      <c r="W676" s="83"/>
      <c r="X676" s="83"/>
      <c r="Y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121"/>
      <c r="S677" s="83"/>
      <c r="T677" s="107"/>
      <c r="U677" s="83"/>
      <c r="V677" s="146"/>
      <c r="W677" s="83"/>
      <c r="X677" s="83"/>
      <c r="Y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121"/>
      <c r="S678" s="83"/>
      <c r="T678" s="107"/>
      <c r="U678" s="83"/>
      <c r="V678" s="146"/>
      <c r="W678" s="83"/>
      <c r="X678" s="83"/>
      <c r="Y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121"/>
      <c r="S679" s="83"/>
      <c r="T679" s="107"/>
      <c r="U679" s="83"/>
      <c r="V679" s="146"/>
      <c r="W679" s="83"/>
      <c r="X679" s="83"/>
      <c r="Y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121"/>
      <c r="S680" s="83"/>
      <c r="T680" s="107"/>
      <c r="U680" s="83"/>
      <c r="V680" s="146"/>
      <c r="W680" s="83"/>
      <c r="X680" s="83"/>
      <c r="Y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121"/>
      <c r="S681" s="83"/>
      <c r="T681" s="107"/>
      <c r="U681" s="83"/>
      <c r="V681" s="146"/>
      <c r="W681" s="83"/>
      <c r="X681" s="83"/>
      <c r="Y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121"/>
      <c r="S682" s="83"/>
      <c r="T682" s="107"/>
      <c r="U682" s="83"/>
      <c r="V682" s="146"/>
      <c r="W682" s="83"/>
      <c r="X682" s="83"/>
      <c r="Y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121"/>
      <c r="S683" s="83"/>
      <c r="T683" s="107"/>
      <c r="U683" s="83"/>
      <c r="V683" s="146"/>
      <c r="W683" s="83"/>
      <c r="X683" s="83"/>
      <c r="Y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121"/>
      <c r="S684" s="83"/>
      <c r="T684" s="107"/>
      <c r="U684" s="83"/>
      <c r="V684" s="146"/>
      <c r="W684" s="83"/>
      <c r="X684" s="83"/>
      <c r="Y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121"/>
      <c r="S685" s="83"/>
      <c r="T685" s="107"/>
      <c r="U685" s="83"/>
      <c r="V685" s="146"/>
      <c r="W685" s="83"/>
      <c r="X685" s="83"/>
      <c r="Y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121"/>
      <c r="S686" s="83"/>
      <c r="T686" s="107"/>
      <c r="U686" s="83"/>
      <c r="V686" s="146"/>
      <c r="W686" s="83"/>
      <c r="X686" s="83"/>
      <c r="Y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121"/>
      <c r="S687" s="83"/>
      <c r="T687" s="107"/>
      <c r="U687" s="83"/>
      <c r="V687" s="146"/>
      <c r="W687" s="83"/>
      <c r="X687" s="83"/>
      <c r="Y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121"/>
      <c r="S688" s="83"/>
      <c r="T688" s="107"/>
      <c r="U688" s="83"/>
      <c r="V688" s="146"/>
      <c r="W688" s="83"/>
      <c r="X688" s="83"/>
      <c r="Y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121"/>
      <c r="S689" s="83"/>
      <c r="T689" s="107"/>
      <c r="U689" s="83"/>
      <c r="V689" s="146"/>
      <c r="W689" s="83"/>
      <c r="X689" s="83"/>
      <c r="Y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121"/>
      <c r="S690" s="83"/>
      <c r="T690" s="107"/>
      <c r="U690" s="83"/>
      <c r="V690" s="146"/>
      <c r="W690" s="83"/>
      <c r="X690" s="83"/>
      <c r="Y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121"/>
      <c r="S691" s="83"/>
      <c r="T691" s="107"/>
      <c r="U691" s="83"/>
      <c r="V691" s="146"/>
      <c r="W691" s="83"/>
      <c r="X691" s="83"/>
      <c r="Y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121"/>
      <c r="S692" s="83"/>
      <c r="T692" s="107"/>
      <c r="U692" s="83"/>
      <c r="V692" s="146"/>
      <c r="W692" s="83"/>
      <c r="X692" s="83"/>
      <c r="Y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121"/>
      <c r="S693" s="83"/>
      <c r="T693" s="107"/>
      <c r="U693" s="83"/>
      <c r="V693" s="146"/>
      <c r="W693" s="83"/>
      <c r="X693" s="83"/>
      <c r="Y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121"/>
      <c r="S694" s="83"/>
      <c r="T694" s="107"/>
      <c r="U694" s="83"/>
      <c r="V694" s="146"/>
      <c r="W694" s="83"/>
      <c r="X694" s="83"/>
      <c r="Y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121"/>
      <c r="S695" s="83"/>
      <c r="T695" s="107"/>
      <c r="U695" s="83"/>
      <c r="V695" s="146"/>
      <c r="W695" s="83"/>
      <c r="X695" s="83"/>
      <c r="Y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121"/>
      <c r="S696" s="83"/>
      <c r="T696" s="107"/>
      <c r="U696" s="83"/>
      <c r="V696" s="146"/>
      <c r="W696" s="83"/>
      <c r="X696" s="83"/>
      <c r="Y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121"/>
      <c r="S697" s="83"/>
      <c r="T697" s="107"/>
      <c r="U697" s="83"/>
      <c r="V697" s="146"/>
      <c r="W697" s="83"/>
      <c r="X697" s="83"/>
      <c r="Y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121"/>
      <c r="S698" s="83"/>
      <c r="T698" s="107"/>
      <c r="U698" s="83"/>
      <c r="V698" s="146"/>
      <c r="W698" s="83"/>
      <c r="X698" s="83"/>
      <c r="Y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121"/>
      <c r="S699" s="83"/>
      <c r="T699" s="107"/>
      <c r="U699" s="83"/>
      <c r="V699" s="146"/>
      <c r="W699" s="83"/>
      <c r="X699" s="83"/>
      <c r="Y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121"/>
      <c r="S700" s="83"/>
      <c r="T700" s="107"/>
      <c r="U700" s="83"/>
      <c r="V700" s="146"/>
      <c r="W700" s="83"/>
      <c r="X700" s="83"/>
      <c r="Y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121"/>
      <c r="S701" s="83"/>
      <c r="T701" s="107"/>
      <c r="U701" s="83"/>
      <c r="V701" s="146"/>
      <c r="W701" s="83"/>
      <c r="X701" s="83"/>
      <c r="Y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121"/>
      <c r="S702" s="83"/>
      <c r="T702" s="107"/>
      <c r="U702" s="83"/>
      <c r="V702" s="146"/>
      <c r="W702" s="83"/>
      <c r="X702" s="83"/>
      <c r="Y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121"/>
      <c r="S703" s="83"/>
      <c r="T703" s="107"/>
      <c r="U703" s="83"/>
      <c r="V703" s="146"/>
      <c r="W703" s="83"/>
      <c r="X703" s="83"/>
      <c r="Y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121"/>
      <c r="S704" s="83"/>
      <c r="T704" s="107"/>
      <c r="U704" s="83"/>
      <c r="V704" s="146"/>
      <c r="W704" s="83"/>
      <c r="X704" s="83"/>
      <c r="Y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121"/>
      <c r="S705" s="83"/>
      <c r="T705" s="107"/>
      <c r="U705" s="83"/>
      <c r="V705" s="146"/>
      <c r="W705" s="83"/>
      <c r="X705" s="83"/>
      <c r="Y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121"/>
      <c r="S706" s="83"/>
      <c r="T706" s="107"/>
      <c r="U706" s="83"/>
      <c r="V706" s="146"/>
      <c r="W706" s="83"/>
      <c r="X706" s="83"/>
      <c r="Y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121"/>
      <c r="S707" s="83"/>
      <c r="T707" s="107"/>
      <c r="U707" s="83"/>
      <c r="V707" s="146"/>
      <c r="W707" s="83"/>
      <c r="X707" s="83"/>
      <c r="Y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121"/>
      <c r="S708" s="83"/>
      <c r="T708" s="107"/>
      <c r="U708" s="83"/>
      <c r="V708" s="146"/>
      <c r="W708" s="83"/>
      <c r="X708" s="83"/>
      <c r="Y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121"/>
      <c r="S709" s="83"/>
      <c r="T709" s="107"/>
      <c r="U709" s="83"/>
      <c r="V709" s="146"/>
      <c r="W709" s="83"/>
      <c r="X709" s="83"/>
      <c r="Y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121"/>
      <c r="S710" s="83"/>
      <c r="T710" s="107"/>
      <c r="U710" s="83"/>
      <c r="V710" s="146"/>
      <c r="W710" s="83"/>
      <c r="X710" s="83"/>
      <c r="Y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121"/>
      <c r="S711" s="83"/>
      <c r="T711" s="107"/>
      <c r="U711" s="83"/>
      <c r="V711" s="146"/>
      <c r="W711" s="83"/>
      <c r="X711" s="83"/>
      <c r="Y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121"/>
      <c r="S712" s="83"/>
      <c r="T712" s="107"/>
      <c r="U712" s="83"/>
      <c r="V712" s="146"/>
      <c r="W712" s="83"/>
      <c r="X712" s="83"/>
      <c r="Y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121"/>
      <c r="S713" s="83"/>
      <c r="T713" s="107"/>
      <c r="U713" s="83"/>
      <c r="V713" s="146"/>
      <c r="W713" s="83"/>
      <c r="X713" s="83"/>
      <c r="Y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121"/>
      <c r="S714" s="83"/>
      <c r="T714" s="107"/>
      <c r="U714" s="83"/>
      <c r="V714" s="146"/>
      <c r="W714" s="83"/>
      <c r="X714" s="83"/>
      <c r="Y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121"/>
      <c r="S715" s="83"/>
      <c r="T715" s="107"/>
      <c r="U715" s="83"/>
      <c r="V715" s="146"/>
      <c r="W715" s="83"/>
      <c r="X715" s="83"/>
      <c r="Y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121"/>
      <c r="S716" s="83"/>
      <c r="T716" s="107"/>
      <c r="U716" s="83"/>
      <c r="V716" s="146"/>
      <c r="W716" s="83"/>
      <c r="X716" s="83"/>
      <c r="Y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121"/>
      <c r="S717" s="83"/>
      <c r="T717" s="107"/>
      <c r="U717" s="83"/>
      <c r="V717" s="146"/>
      <c r="W717" s="83"/>
      <c r="X717" s="83"/>
      <c r="Y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121"/>
      <c r="S718" s="83"/>
      <c r="T718" s="107"/>
      <c r="U718" s="83"/>
      <c r="V718" s="146"/>
      <c r="W718" s="83"/>
      <c r="X718" s="83"/>
      <c r="Y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121"/>
      <c r="S719" s="83"/>
      <c r="T719" s="107"/>
      <c r="U719" s="83"/>
      <c r="V719" s="146"/>
      <c r="W719" s="83"/>
      <c r="X719" s="83"/>
      <c r="Y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121"/>
      <c r="S720" s="83"/>
      <c r="T720" s="107"/>
      <c r="U720" s="83"/>
      <c r="V720" s="146"/>
      <c r="W720" s="83"/>
      <c r="X720" s="83"/>
      <c r="Y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121"/>
      <c r="S721" s="83"/>
      <c r="T721" s="107"/>
      <c r="U721" s="83"/>
      <c r="V721" s="146"/>
      <c r="W721" s="83"/>
      <c r="X721" s="83"/>
      <c r="Y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121"/>
      <c r="S722" s="83"/>
      <c r="T722" s="107"/>
      <c r="U722" s="83"/>
      <c r="V722" s="146"/>
      <c r="W722" s="83"/>
      <c r="X722" s="83"/>
      <c r="Y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121"/>
      <c r="S723" s="83"/>
      <c r="T723" s="107"/>
      <c r="U723" s="83"/>
      <c r="V723" s="146"/>
      <c r="W723" s="83"/>
      <c r="X723" s="83"/>
      <c r="Y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121"/>
      <c r="S724" s="83"/>
      <c r="T724" s="107"/>
      <c r="U724" s="83"/>
      <c r="V724" s="146"/>
      <c r="W724" s="83"/>
      <c r="X724" s="83"/>
      <c r="Y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121"/>
      <c r="S725" s="83"/>
      <c r="T725" s="107"/>
      <c r="U725" s="83"/>
      <c r="V725" s="146"/>
      <c r="W725" s="83"/>
      <c r="X725" s="83"/>
      <c r="Y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121"/>
      <c r="S726" s="83"/>
      <c r="T726" s="107"/>
      <c r="U726" s="83"/>
      <c r="V726" s="146"/>
      <c r="W726" s="83"/>
      <c r="X726" s="83"/>
      <c r="Y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121"/>
      <c r="S727" s="83"/>
      <c r="T727" s="107"/>
      <c r="U727" s="83"/>
      <c r="V727" s="146"/>
      <c r="W727" s="83"/>
      <c r="X727" s="83"/>
      <c r="Y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121"/>
      <c r="S728" s="83"/>
      <c r="T728" s="107"/>
      <c r="U728" s="83"/>
      <c r="V728" s="146"/>
      <c r="W728" s="83"/>
      <c r="X728" s="83"/>
      <c r="Y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121"/>
      <c r="S729" s="83"/>
      <c r="T729" s="107"/>
      <c r="U729" s="83"/>
      <c r="V729" s="146"/>
      <c r="W729" s="83"/>
      <c r="X729" s="83"/>
      <c r="Y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121"/>
      <c r="S730" s="83"/>
      <c r="T730" s="107"/>
      <c r="U730" s="83"/>
      <c r="V730" s="146"/>
      <c r="W730" s="83"/>
      <c r="X730" s="83"/>
      <c r="Y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121"/>
      <c r="S731" s="83"/>
      <c r="T731" s="107"/>
      <c r="U731" s="83"/>
      <c r="V731" s="146"/>
      <c r="W731" s="83"/>
      <c r="X731" s="83"/>
      <c r="Y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121"/>
      <c r="S732" s="83"/>
      <c r="T732" s="107"/>
      <c r="U732" s="83"/>
      <c r="V732" s="146"/>
      <c r="W732" s="83"/>
      <c r="X732" s="83"/>
      <c r="Y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121"/>
      <c r="S733" s="83"/>
      <c r="T733" s="107"/>
      <c r="U733" s="83"/>
      <c r="V733" s="146"/>
      <c r="W733" s="83"/>
      <c r="X733" s="83"/>
      <c r="Y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121"/>
      <c r="S734" s="83"/>
      <c r="T734" s="107"/>
      <c r="U734" s="83"/>
      <c r="V734" s="146"/>
      <c r="W734" s="83"/>
      <c r="X734" s="83"/>
      <c r="Y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121"/>
      <c r="S735" s="83"/>
      <c r="T735" s="107"/>
      <c r="U735" s="83"/>
      <c r="V735" s="146"/>
      <c r="W735" s="83"/>
      <c r="X735" s="83"/>
      <c r="Y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121"/>
      <c r="S736" s="83"/>
      <c r="T736" s="107"/>
      <c r="U736" s="83"/>
      <c r="V736" s="146"/>
      <c r="W736" s="83"/>
      <c r="X736" s="83"/>
      <c r="Y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121"/>
      <c r="S737" s="83"/>
      <c r="T737" s="107"/>
      <c r="U737" s="83"/>
      <c r="V737" s="146"/>
      <c r="W737" s="83"/>
      <c r="X737" s="83"/>
      <c r="Y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121"/>
      <c r="S738" s="83"/>
      <c r="T738" s="107"/>
      <c r="U738" s="83"/>
      <c r="V738" s="146"/>
      <c r="W738" s="83"/>
      <c r="X738" s="83"/>
      <c r="Y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121"/>
      <c r="S739" s="83"/>
      <c r="T739" s="107"/>
      <c r="U739" s="83"/>
      <c r="V739" s="146"/>
      <c r="W739" s="83"/>
      <c r="X739" s="83"/>
      <c r="Y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121"/>
      <c r="S740" s="83"/>
      <c r="T740" s="107"/>
      <c r="U740" s="83"/>
      <c r="V740" s="146"/>
      <c r="W740" s="83"/>
      <c r="X740" s="83"/>
      <c r="Y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121"/>
      <c r="S741" s="83"/>
      <c r="T741" s="107"/>
      <c r="U741" s="83"/>
      <c r="V741" s="146"/>
      <c r="W741" s="83"/>
      <c r="X741" s="83"/>
      <c r="Y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121"/>
      <c r="S742" s="83"/>
      <c r="T742" s="107"/>
      <c r="U742" s="83"/>
      <c r="V742" s="146"/>
      <c r="W742" s="83"/>
      <c r="X742" s="83"/>
      <c r="Y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121"/>
      <c r="S743" s="83"/>
      <c r="T743" s="107"/>
      <c r="U743" s="83"/>
      <c r="V743" s="146"/>
      <c r="W743" s="83"/>
      <c r="X743" s="83"/>
      <c r="Y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121"/>
      <c r="S744" s="83"/>
      <c r="T744" s="107"/>
      <c r="U744" s="83"/>
      <c r="V744" s="146"/>
      <c r="W744" s="83"/>
      <c r="X744" s="83"/>
      <c r="Y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121"/>
      <c r="S745" s="83"/>
      <c r="T745" s="107"/>
      <c r="U745" s="83"/>
      <c r="V745" s="146"/>
      <c r="W745" s="83"/>
      <c r="X745" s="83"/>
      <c r="Y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121"/>
      <c r="S746" s="83"/>
      <c r="T746" s="107"/>
      <c r="U746" s="83"/>
      <c r="V746" s="146"/>
      <c r="W746" s="83"/>
      <c r="X746" s="83"/>
      <c r="Y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121"/>
      <c r="S747" s="83"/>
      <c r="T747" s="107"/>
      <c r="U747" s="83"/>
      <c r="V747" s="146"/>
      <c r="W747" s="83"/>
      <c r="X747" s="83"/>
      <c r="Y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121"/>
      <c r="S748" s="83"/>
      <c r="T748" s="107"/>
      <c r="U748" s="83"/>
      <c r="V748" s="146"/>
      <c r="W748" s="83"/>
      <c r="X748" s="83"/>
      <c r="Y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121"/>
      <c r="S749" s="83"/>
      <c r="T749" s="107"/>
      <c r="U749" s="83"/>
      <c r="V749" s="146"/>
      <c r="W749" s="83"/>
      <c r="X749" s="83"/>
      <c r="Y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121"/>
      <c r="S750" s="83"/>
      <c r="T750" s="107"/>
      <c r="U750" s="83"/>
      <c r="V750" s="146"/>
      <c r="W750" s="83"/>
      <c r="X750" s="83"/>
      <c r="Y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121"/>
      <c r="S751" s="83"/>
      <c r="T751" s="107"/>
      <c r="U751" s="83"/>
      <c r="V751" s="146"/>
      <c r="W751" s="83"/>
      <c r="X751" s="83"/>
      <c r="Y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121"/>
      <c r="S752" s="83"/>
      <c r="T752" s="107"/>
      <c r="U752" s="83"/>
      <c r="V752" s="146"/>
      <c r="W752" s="83"/>
      <c r="X752" s="83"/>
      <c r="Y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121"/>
      <c r="S753" s="83"/>
      <c r="T753" s="107"/>
      <c r="U753" s="83"/>
      <c r="V753" s="146"/>
      <c r="W753" s="83"/>
      <c r="X753" s="83"/>
      <c r="Y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121"/>
      <c r="S754" s="83"/>
      <c r="T754" s="107"/>
      <c r="U754" s="83"/>
      <c r="V754" s="146"/>
      <c r="W754" s="83"/>
      <c r="X754" s="83"/>
      <c r="Y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121"/>
      <c r="S755" s="83"/>
      <c r="T755" s="107"/>
      <c r="U755" s="83"/>
      <c r="V755" s="146"/>
      <c r="W755" s="83"/>
      <c r="X755" s="83"/>
      <c r="Y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121"/>
      <c r="S756" s="83"/>
      <c r="T756" s="107"/>
      <c r="U756" s="83"/>
      <c r="V756" s="146"/>
      <c r="W756" s="83"/>
      <c r="X756" s="83"/>
      <c r="Y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121"/>
      <c r="S757" s="83"/>
      <c r="T757" s="107"/>
      <c r="U757" s="83"/>
      <c r="V757" s="146"/>
      <c r="W757" s="83"/>
      <c r="X757" s="83"/>
      <c r="Y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121"/>
      <c r="S758" s="83"/>
      <c r="T758" s="107"/>
      <c r="U758" s="83"/>
      <c r="V758" s="146"/>
      <c r="W758" s="83"/>
      <c r="X758" s="83"/>
      <c r="Y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121"/>
      <c r="S759" s="83"/>
      <c r="T759" s="107"/>
      <c r="U759" s="83"/>
      <c r="V759" s="146"/>
      <c r="W759" s="83"/>
      <c r="X759" s="83"/>
      <c r="Y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121"/>
      <c r="S760" s="83"/>
      <c r="T760" s="107"/>
      <c r="U760" s="83"/>
      <c r="V760" s="146"/>
      <c r="W760" s="83"/>
      <c r="X760" s="83"/>
      <c r="Y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121"/>
      <c r="S761" s="83"/>
      <c r="T761" s="107"/>
      <c r="U761" s="83"/>
      <c r="V761" s="146"/>
      <c r="W761" s="83"/>
      <c r="X761" s="83"/>
      <c r="Y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121"/>
      <c r="S762" s="83"/>
      <c r="T762" s="107"/>
      <c r="U762" s="83"/>
      <c r="V762" s="146"/>
      <c r="W762" s="83"/>
      <c r="X762" s="83"/>
      <c r="Y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121"/>
      <c r="S763" s="83"/>
      <c r="T763" s="107"/>
      <c r="U763" s="83"/>
      <c r="V763" s="146"/>
      <c r="W763" s="83"/>
      <c r="X763" s="83"/>
      <c r="Y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121"/>
      <c r="S764" s="83"/>
      <c r="T764" s="107"/>
      <c r="U764" s="83"/>
      <c r="V764" s="146"/>
      <c r="W764" s="83"/>
      <c r="X764" s="83"/>
      <c r="Y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121"/>
      <c r="S765" s="83"/>
      <c r="T765" s="107"/>
      <c r="U765" s="83"/>
      <c r="V765" s="146"/>
      <c r="W765" s="83"/>
      <c r="X765" s="83"/>
      <c r="Y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121"/>
      <c r="S766" s="83"/>
      <c r="T766" s="107"/>
      <c r="U766" s="83"/>
      <c r="V766" s="146"/>
      <c r="W766" s="83"/>
      <c r="X766" s="83"/>
      <c r="Y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121"/>
      <c r="S767" s="83"/>
      <c r="T767" s="107"/>
      <c r="U767" s="83"/>
      <c r="V767" s="146"/>
      <c r="W767" s="83"/>
      <c r="X767" s="83"/>
      <c r="Y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121"/>
      <c r="S768" s="83"/>
      <c r="T768" s="107"/>
      <c r="U768" s="83"/>
      <c r="V768" s="146"/>
      <c r="W768" s="83"/>
      <c r="X768" s="83"/>
      <c r="Y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121"/>
      <c r="S769" s="83"/>
      <c r="T769" s="107"/>
      <c r="U769" s="83"/>
      <c r="V769" s="146"/>
      <c r="W769" s="83"/>
      <c r="X769" s="83"/>
      <c r="Y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121"/>
      <c r="S770" s="83"/>
      <c r="T770" s="107"/>
      <c r="U770" s="83"/>
      <c r="V770" s="146"/>
      <c r="W770" s="83"/>
      <c r="X770" s="83"/>
      <c r="Y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121"/>
      <c r="S771" s="83"/>
      <c r="T771" s="107"/>
      <c r="U771" s="83"/>
      <c r="V771" s="146"/>
      <c r="W771" s="83"/>
      <c r="X771" s="83"/>
      <c r="Y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121"/>
      <c r="S772" s="83"/>
      <c r="T772" s="107"/>
      <c r="U772" s="83"/>
      <c r="V772" s="146"/>
      <c r="W772" s="83"/>
      <c r="X772" s="83"/>
      <c r="Y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121"/>
      <c r="S773" s="83"/>
      <c r="T773" s="107"/>
      <c r="U773" s="83"/>
      <c r="V773" s="146"/>
      <c r="W773" s="83"/>
      <c r="X773" s="83"/>
      <c r="Y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121"/>
      <c r="S774" s="83"/>
      <c r="T774" s="107"/>
      <c r="U774" s="83"/>
      <c r="V774" s="146"/>
      <c r="W774" s="83"/>
      <c r="X774" s="83"/>
      <c r="Y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121"/>
      <c r="S775" s="83"/>
      <c r="T775" s="107"/>
      <c r="U775" s="83"/>
      <c r="V775" s="146"/>
      <c r="W775" s="83"/>
      <c r="X775" s="83"/>
      <c r="Y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121"/>
      <c r="S776" s="83"/>
      <c r="T776" s="107"/>
      <c r="U776" s="83"/>
      <c r="V776" s="146"/>
      <c r="W776" s="83"/>
      <c r="X776" s="83"/>
      <c r="Y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121"/>
      <c r="S777" s="83"/>
      <c r="T777" s="107"/>
      <c r="U777" s="83"/>
      <c r="V777" s="146"/>
      <c r="W777" s="83"/>
      <c r="X777" s="83"/>
      <c r="Y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121"/>
      <c r="S778" s="83"/>
      <c r="T778" s="107"/>
      <c r="U778" s="83"/>
      <c r="V778" s="146"/>
      <c r="W778" s="83"/>
      <c r="X778" s="83"/>
      <c r="Y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121"/>
      <c r="S779" s="83"/>
      <c r="T779" s="107"/>
      <c r="U779" s="83"/>
      <c r="V779" s="146"/>
      <c r="W779" s="83"/>
      <c r="X779" s="83"/>
      <c r="Y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121"/>
      <c r="S780" s="83"/>
      <c r="T780" s="107"/>
      <c r="U780" s="83"/>
      <c r="V780" s="146"/>
      <c r="W780" s="83"/>
      <c r="X780" s="83"/>
      <c r="Y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121"/>
      <c r="S781" s="83"/>
      <c r="T781" s="107"/>
      <c r="U781" s="83"/>
      <c r="V781" s="146"/>
      <c r="W781" s="83"/>
      <c r="X781" s="83"/>
      <c r="Y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121"/>
      <c r="S782" s="83"/>
      <c r="T782" s="107"/>
      <c r="U782" s="83"/>
      <c r="V782" s="146"/>
      <c r="W782" s="83"/>
      <c r="X782" s="83"/>
      <c r="Y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121"/>
      <c r="S783" s="83"/>
      <c r="T783" s="107"/>
      <c r="U783" s="83"/>
      <c r="V783" s="146"/>
      <c r="W783" s="83"/>
      <c r="X783" s="83"/>
      <c r="Y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121"/>
      <c r="S784" s="83"/>
      <c r="T784" s="107"/>
      <c r="U784" s="83"/>
      <c r="V784" s="146"/>
      <c r="W784" s="83"/>
      <c r="X784" s="83"/>
      <c r="Y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121"/>
      <c r="S785" s="83"/>
      <c r="T785" s="107"/>
      <c r="U785" s="83"/>
      <c r="V785" s="146"/>
      <c r="W785" s="83"/>
      <c r="X785" s="83"/>
      <c r="Y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121"/>
      <c r="S786" s="83"/>
      <c r="T786" s="107"/>
      <c r="U786" s="83"/>
      <c r="V786" s="146"/>
      <c r="W786" s="83"/>
      <c r="X786" s="83"/>
      <c r="Y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121"/>
      <c r="S787" s="83"/>
      <c r="T787" s="107"/>
      <c r="U787" s="83"/>
      <c r="V787" s="146"/>
      <c r="W787" s="83"/>
      <c r="X787" s="83"/>
      <c r="Y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121"/>
      <c r="S788" s="83"/>
      <c r="T788" s="107"/>
      <c r="U788" s="83"/>
      <c r="V788" s="146"/>
      <c r="W788" s="83"/>
      <c r="X788" s="83"/>
      <c r="Y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121"/>
      <c r="S789" s="83"/>
      <c r="T789" s="107"/>
      <c r="U789" s="83"/>
      <c r="V789" s="146"/>
      <c r="W789" s="83"/>
      <c r="X789" s="83"/>
      <c r="Y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121"/>
      <c r="S790" s="83"/>
      <c r="T790" s="107"/>
      <c r="U790" s="83"/>
      <c r="V790" s="146"/>
      <c r="W790" s="83"/>
      <c r="X790" s="83"/>
      <c r="Y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121"/>
      <c r="S791" s="83"/>
      <c r="T791" s="107"/>
      <c r="U791" s="83"/>
      <c r="V791" s="146"/>
      <c r="W791" s="83"/>
      <c r="X791" s="83"/>
      <c r="Y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121"/>
      <c r="S792" s="83"/>
      <c r="T792" s="107"/>
      <c r="U792" s="83"/>
      <c r="V792" s="146"/>
      <c r="W792" s="83"/>
      <c r="X792" s="83"/>
      <c r="Y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121"/>
      <c r="S793" s="83"/>
      <c r="T793" s="107"/>
      <c r="U793" s="83"/>
      <c r="V793" s="146"/>
      <c r="W793" s="83"/>
      <c r="X793" s="83"/>
      <c r="Y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121"/>
      <c r="S794" s="83"/>
      <c r="T794" s="107"/>
      <c r="U794" s="83"/>
      <c r="V794" s="146"/>
      <c r="W794" s="83"/>
      <c r="X794" s="83"/>
      <c r="Y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121"/>
      <c r="S795" s="83"/>
      <c r="T795" s="107"/>
      <c r="U795" s="83"/>
      <c r="V795" s="146"/>
      <c r="W795" s="83"/>
      <c r="X795" s="83"/>
      <c r="Y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121"/>
      <c r="S796" s="83"/>
      <c r="T796" s="107"/>
      <c r="U796" s="83"/>
      <c r="V796" s="146"/>
      <c r="W796" s="83"/>
      <c r="X796" s="83"/>
      <c r="Y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121"/>
      <c r="S797" s="83"/>
      <c r="T797" s="107"/>
      <c r="U797" s="83"/>
      <c r="V797" s="146"/>
      <c r="W797" s="83"/>
      <c r="X797" s="83"/>
      <c r="Y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121"/>
      <c r="S798" s="83"/>
      <c r="T798" s="107"/>
      <c r="U798" s="83"/>
      <c r="V798" s="146"/>
      <c r="W798" s="83"/>
      <c r="X798" s="83"/>
      <c r="Y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121"/>
      <c r="S799" s="83"/>
      <c r="T799" s="107"/>
      <c r="U799" s="83"/>
      <c r="V799" s="146"/>
      <c r="W799" s="83"/>
      <c r="X799" s="83"/>
      <c r="Y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121"/>
      <c r="S800" s="83"/>
      <c r="T800" s="107"/>
      <c r="U800" s="83"/>
      <c r="V800" s="146"/>
      <c r="W800" s="83"/>
      <c r="X800" s="83"/>
      <c r="Y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121"/>
      <c r="S801" s="83"/>
      <c r="T801" s="107"/>
      <c r="U801" s="83"/>
      <c r="V801" s="146"/>
      <c r="W801" s="83"/>
      <c r="X801" s="83"/>
      <c r="Y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121"/>
      <c r="S802" s="83"/>
      <c r="T802" s="107"/>
      <c r="U802" s="83"/>
      <c r="V802" s="146"/>
      <c r="W802" s="83"/>
      <c r="X802" s="83"/>
      <c r="Y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121"/>
      <c r="S803" s="83"/>
      <c r="T803" s="107"/>
      <c r="U803" s="83"/>
      <c r="V803" s="146"/>
      <c r="W803" s="83"/>
      <c r="X803" s="83"/>
      <c r="Y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121"/>
      <c r="S804" s="83"/>
      <c r="T804" s="107"/>
      <c r="U804" s="83"/>
      <c r="V804" s="146"/>
      <c r="W804" s="83"/>
      <c r="X804" s="83"/>
      <c r="Y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121"/>
      <c r="S805" s="83"/>
      <c r="T805" s="107"/>
      <c r="U805" s="83"/>
      <c r="V805" s="146"/>
      <c r="W805" s="83"/>
      <c r="X805" s="83"/>
      <c r="Y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121"/>
      <c r="S806" s="83"/>
      <c r="T806" s="107"/>
      <c r="U806" s="83"/>
      <c r="V806" s="146"/>
      <c r="W806" s="83"/>
      <c r="X806" s="83"/>
      <c r="Y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121"/>
      <c r="S807" s="83"/>
      <c r="T807" s="107"/>
      <c r="U807" s="83"/>
      <c r="V807" s="146"/>
      <c r="W807" s="83"/>
      <c r="X807" s="83"/>
      <c r="Y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121"/>
      <c r="S808" s="83"/>
      <c r="T808" s="107"/>
      <c r="U808" s="83"/>
      <c r="V808" s="146"/>
      <c r="W808" s="83"/>
      <c r="X808" s="83"/>
      <c r="Y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121"/>
      <c r="S809" s="83"/>
      <c r="T809" s="107"/>
      <c r="U809" s="83"/>
      <c r="V809" s="146"/>
      <c r="W809" s="83"/>
      <c r="X809" s="83"/>
      <c r="Y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121"/>
      <c r="S810" s="83"/>
      <c r="T810" s="107"/>
      <c r="U810" s="83"/>
      <c r="V810" s="146"/>
      <c r="W810" s="83"/>
      <c r="X810" s="83"/>
      <c r="Y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121"/>
      <c r="S811" s="83"/>
      <c r="T811" s="107"/>
      <c r="U811" s="83"/>
      <c r="V811" s="146"/>
      <c r="W811" s="83"/>
      <c r="X811" s="83"/>
      <c r="Y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121"/>
      <c r="S812" s="83"/>
      <c r="T812" s="107"/>
      <c r="U812" s="83"/>
      <c r="V812" s="146"/>
      <c r="W812" s="83"/>
      <c r="X812" s="83"/>
      <c r="Y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121"/>
      <c r="S813" s="83"/>
      <c r="T813" s="107"/>
      <c r="U813" s="83"/>
      <c r="V813" s="146"/>
      <c r="W813" s="83"/>
      <c r="X813" s="83"/>
      <c r="Y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121"/>
      <c r="S814" s="83"/>
      <c r="T814" s="107"/>
      <c r="U814" s="83"/>
      <c r="V814" s="146"/>
      <c r="W814" s="83"/>
      <c r="X814" s="83"/>
      <c r="Y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121"/>
      <c r="S815" s="83"/>
      <c r="T815" s="107"/>
      <c r="U815" s="83"/>
      <c r="V815" s="146"/>
      <c r="W815" s="83"/>
      <c r="X815" s="83"/>
      <c r="Y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121"/>
      <c r="S816" s="83"/>
      <c r="T816" s="107"/>
      <c r="U816" s="83"/>
      <c r="V816" s="146"/>
      <c r="W816" s="83"/>
      <c r="X816" s="83"/>
      <c r="Y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121"/>
      <c r="S817" s="83"/>
      <c r="T817" s="107"/>
      <c r="U817" s="83"/>
      <c r="V817" s="146"/>
      <c r="W817" s="83"/>
      <c r="X817" s="83"/>
      <c r="Y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121"/>
      <c r="S818" s="83"/>
      <c r="T818" s="107"/>
      <c r="U818" s="83"/>
      <c r="V818" s="146"/>
      <c r="W818" s="83"/>
      <c r="X818" s="83"/>
      <c r="Y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121"/>
      <c r="S819" s="83"/>
      <c r="T819" s="107"/>
      <c r="U819" s="83"/>
      <c r="V819" s="146"/>
      <c r="W819" s="83"/>
      <c r="X819" s="83"/>
      <c r="Y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121"/>
      <c r="S820" s="83"/>
      <c r="T820" s="107"/>
      <c r="U820" s="83"/>
      <c r="V820" s="146"/>
      <c r="W820" s="83"/>
      <c r="X820" s="83"/>
      <c r="Y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121"/>
      <c r="S821" s="83"/>
      <c r="T821" s="107"/>
      <c r="U821" s="83"/>
      <c r="V821" s="146"/>
      <c r="W821" s="83"/>
      <c r="X821" s="83"/>
      <c r="Y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121"/>
      <c r="S822" s="83"/>
      <c r="T822" s="107"/>
      <c r="U822" s="83"/>
      <c r="V822" s="146"/>
      <c r="W822" s="83"/>
      <c r="X822" s="83"/>
      <c r="Y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121"/>
      <c r="S823" s="83"/>
      <c r="T823" s="107"/>
      <c r="U823" s="83"/>
      <c r="V823" s="146"/>
      <c r="W823" s="83"/>
      <c r="X823" s="83"/>
      <c r="Y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121"/>
      <c r="S824" s="83"/>
      <c r="T824" s="107"/>
      <c r="U824" s="83"/>
      <c r="V824" s="146"/>
      <c r="W824" s="83"/>
      <c r="X824" s="83"/>
      <c r="Y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121"/>
      <c r="S825" s="83"/>
      <c r="T825" s="107"/>
      <c r="U825" s="83"/>
      <c r="V825" s="146"/>
      <c r="W825" s="83"/>
      <c r="X825" s="83"/>
      <c r="Y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121"/>
      <c r="S826" s="83"/>
      <c r="T826" s="107"/>
      <c r="U826" s="83"/>
      <c r="V826" s="146"/>
      <c r="W826" s="83"/>
      <c r="X826" s="83"/>
      <c r="Y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121"/>
      <c r="S827" s="83"/>
      <c r="T827" s="107"/>
      <c r="U827" s="83"/>
      <c r="V827" s="146"/>
      <c r="W827" s="83"/>
      <c r="X827" s="83"/>
      <c r="Y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121"/>
      <c r="S828" s="83"/>
      <c r="T828" s="107"/>
      <c r="U828" s="83"/>
      <c r="V828" s="146"/>
      <c r="W828" s="83"/>
      <c r="X828" s="83"/>
      <c r="Y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121"/>
      <c r="S829" s="83"/>
      <c r="T829" s="107"/>
      <c r="U829" s="83"/>
      <c r="V829" s="146"/>
      <c r="W829" s="83"/>
      <c r="X829" s="83"/>
      <c r="Y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121"/>
      <c r="S830" s="83"/>
      <c r="T830" s="107"/>
      <c r="U830" s="83"/>
      <c r="V830" s="146"/>
      <c r="W830" s="83"/>
      <c r="X830" s="83"/>
      <c r="Y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121"/>
      <c r="S831" s="83"/>
      <c r="T831" s="107"/>
      <c r="U831" s="83"/>
      <c r="V831" s="146"/>
      <c r="W831" s="83"/>
      <c r="X831" s="83"/>
      <c r="Y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121"/>
      <c r="S832" s="83"/>
      <c r="T832" s="107"/>
      <c r="U832" s="83"/>
      <c r="V832" s="146"/>
      <c r="W832" s="83"/>
      <c r="X832" s="83"/>
      <c r="Y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121"/>
      <c r="S833" s="83"/>
      <c r="T833" s="107"/>
      <c r="U833" s="83"/>
      <c r="V833" s="146"/>
      <c r="W833" s="83"/>
      <c r="X833" s="83"/>
      <c r="Y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121"/>
      <c r="S834" s="83"/>
      <c r="T834" s="107"/>
      <c r="U834" s="83"/>
      <c r="V834" s="146"/>
      <c r="W834" s="83"/>
      <c r="X834" s="83"/>
      <c r="Y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121"/>
      <c r="S835" s="83"/>
      <c r="T835" s="107"/>
      <c r="U835" s="83"/>
      <c r="V835" s="146"/>
      <c r="W835" s="83"/>
      <c r="X835" s="83"/>
      <c r="Y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121"/>
      <c r="S836" s="83"/>
      <c r="T836" s="107"/>
      <c r="U836" s="83"/>
      <c r="V836" s="146"/>
      <c r="W836" s="83"/>
      <c r="X836" s="83"/>
      <c r="Y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121"/>
      <c r="S837" s="83"/>
      <c r="T837" s="107"/>
      <c r="U837" s="83"/>
      <c r="V837" s="146"/>
      <c r="W837" s="83"/>
      <c r="X837" s="83"/>
      <c r="Y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121"/>
      <c r="S838" s="83"/>
      <c r="T838" s="107"/>
      <c r="U838" s="83"/>
      <c r="V838" s="146"/>
      <c r="W838" s="83"/>
      <c r="X838" s="83"/>
      <c r="Y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121"/>
      <c r="S839" s="83"/>
      <c r="T839" s="107"/>
      <c r="U839" s="83"/>
      <c r="V839" s="146"/>
      <c r="W839" s="83"/>
      <c r="X839" s="83"/>
      <c r="Y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121"/>
      <c r="S840" s="83"/>
      <c r="T840" s="107"/>
      <c r="U840" s="83"/>
      <c r="V840" s="146"/>
      <c r="W840" s="83"/>
      <c r="X840" s="83"/>
      <c r="Y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121"/>
      <c r="S841" s="83"/>
      <c r="T841" s="107"/>
      <c r="U841" s="83"/>
      <c r="V841" s="146"/>
      <c r="W841" s="83"/>
      <c r="X841" s="83"/>
      <c r="Y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121"/>
      <c r="S842" s="83"/>
      <c r="T842" s="107"/>
      <c r="U842" s="83"/>
      <c r="V842" s="146"/>
      <c r="W842" s="83"/>
      <c r="X842" s="83"/>
      <c r="Y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121"/>
      <c r="S843" s="83"/>
      <c r="T843" s="107"/>
      <c r="U843" s="83"/>
      <c r="V843" s="146"/>
      <c r="W843" s="83"/>
      <c r="X843" s="83"/>
      <c r="Y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121"/>
      <c r="S844" s="83"/>
      <c r="T844" s="107"/>
      <c r="U844" s="83"/>
      <c r="V844" s="146"/>
      <c r="W844" s="83"/>
      <c r="X844" s="83"/>
      <c r="Y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121"/>
      <c r="S845" s="83"/>
      <c r="T845" s="107"/>
      <c r="U845" s="83"/>
      <c r="V845" s="146"/>
      <c r="W845" s="83"/>
      <c r="X845" s="83"/>
      <c r="Y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121"/>
      <c r="S846" s="83"/>
      <c r="T846" s="107"/>
      <c r="U846" s="83"/>
      <c r="V846" s="146"/>
      <c r="W846" s="83"/>
      <c r="X846" s="83"/>
      <c r="Y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121"/>
      <c r="S847" s="83"/>
      <c r="T847" s="107"/>
      <c r="U847" s="83"/>
      <c r="V847" s="146"/>
      <c r="W847" s="83"/>
      <c r="X847" s="83"/>
      <c r="Y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121"/>
      <c r="S848" s="83"/>
      <c r="T848" s="107"/>
      <c r="U848" s="83"/>
      <c r="V848" s="146"/>
      <c r="W848" s="83"/>
      <c r="X848" s="83"/>
      <c r="Y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121"/>
      <c r="S849" s="83"/>
      <c r="T849" s="107"/>
      <c r="U849" s="83"/>
      <c r="V849" s="146"/>
      <c r="W849" s="83"/>
      <c r="X849" s="83"/>
      <c r="Y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121"/>
      <c r="S850" s="83"/>
      <c r="T850" s="107"/>
      <c r="U850" s="83"/>
      <c r="V850" s="146"/>
      <c r="W850" s="83"/>
      <c r="X850" s="83"/>
      <c r="Y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121"/>
      <c r="S851" s="83"/>
      <c r="T851" s="107"/>
      <c r="U851" s="83"/>
      <c r="V851" s="146"/>
      <c r="W851" s="83"/>
      <c r="X851" s="83"/>
      <c r="Y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121"/>
      <c r="S852" s="83"/>
      <c r="T852" s="107"/>
      <c r="U852" s="83"/>
      <c r="V852" s="146"/>
      <c r="W852" s="83"/>
      <c r="X852" s="83"/>
      <c r="Y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121"/>
      <c r="S853" s="83"/>
      <c r="T853" s="107"/>
      <c r="U853" s="83"/>
      <c r="V853" s="146"/>
      <c r="W853" s="83"/>
      <c r="X853" s="83"/>
      <c r="Y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121"/>
      <c r="S854" s="83"/>
      <c r="T854" s="107"/>
      <c r="U854" s="83"/>
      <c r="V854" s="146"/>
      <c r="W854" s="83"/>
      <c r="X854" s="83"/>
      <c r="Y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121"/>
      <c r="S855" s="83"/>
      <c r="T855" s="107"/>
      <c r="U855" s="83"/>
      <c r="V855" s="146"/>
      <c r="W855" s="83"/>
      <c r="X855" s="83"/>
      <c r="Y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121"/>
      <c r="S856" s="83"/>
      <c r="T856" s="107"/>
      <c r="U856" s="83"/>
      <c r="V856" s="146"/>
      <c r="W856" s="83"/>
      <c r="X856" s="83"/>
      <c r="Y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121"/>
      <c r="S857" s="83"/>
      <c r="T857" s="107"/>
      <c r="U857" s="83"/>
      <c r="V857" s="146"/>
      <c r="W857" s="83"/>
      <c r="X857" s="83"/>
      <c r="Y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121"/>
      <c r="S858" s="83"/>
      <c r="T858" s="107"/>
      <c r="U858" s="83"/>
      <c r="V858" s="146"/>
      <c r="W858" s="83"/>
      <c r="X858" s="83"/>
      <c r="Y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121"/>
      <c r="S859" s="83"/>
      <c r="T859" s="107"/>
      <c r="U859" s="83"/>
      <c r="V859" s="146"/>
      <c r="W859" s="83"/>
      <c r="X859" s="83"/>
      <c r="Y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121"/>
      <c r="S860" s="83"/>
      <c r="T860" s="107"/>
      <c r="U860" s="83"/>
      <c r="V860" s="146"/>
      <c r="W860" s="83"/>
      <c r="X860" s="83"/>
      <c r="Y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121"/>
      <c r="S861" s="83"/>
      <c r="T861" s="107"/>
      <c r="U861" s="83"/>
      <c r="V861" s="146"/>
      <c r="W861" s="83"/>
      <c r="X861" s="83"/>
      <c r="Y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121"/>
      <c r="S862" s="83"/>
      <c r="T862" s="107"/>
      <c r="U862" s="83"/>
      <c r="V862" s="146"/>
      <c r="W862" s="83"/>
      <c r="X862" s="83"/>
      <c r="Y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121"/>
      <c r="S863" s="83"/>
      <c r="T863" s="107"/>
      <c r="U863" s="83"/>
      <c r="V863" s="146"/>
      <c r="W863" s="83"/>
      <c r="X863" s="83"/>
      <c r="Y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121"/>
      <c r="S864" s="83"/>
      <c r="T864" s="107"/>
      <c r="U864" s="83"/>
      <c r="V864" s="146"/>
      <c r="W864" s="83"/>
      <c r="X864" s="83"/>
      <c r="Y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121"/>
      <c r="S865" s="83"/>
      <c r="T865" s="107"/>
      <c r="U865" s="83"/>
      <c r="V865" s="146"/>
      <c r="W865" s="83"/>
      <c r="X865" s="83"/>
      <c r="Y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121"/>
      <c r="S866" s="83"/>
      <c r="T866" s="107"/>
      <c r="U866" s="83"/>
      <c r="V866" s="146"/>
      <c r="W866" s="83"/>
      <c r="X866" s="83"/>
      <c r="Y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121"/>
      <c r="S867" s="83"/>
      <c r="T867" s="107"/>
      <c r="U867" s="83"/>
      <c r="V867" s="146"/>
      <c r="W867" s="83"/>
      <c r="X867" s="83"/>
      <c r="Y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121"/>
      <c r="S868" s="83"/>
      <c r="T868" s="107"/>
      <c r="U868" s="83"/>
      <c r="V868" s="146"/>
      <c r="W868" s="83"/>
      <c r="X868" s="83"/>
      <c r="Y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121"/>
      <c r="S869" s="83"/>
      <c r="T869" s="107"/>
      <c r="U869" s="83"/>
      <c r="V869" s="146"/>
      <c r="W869" s="83"/>
      <c r="X869" s="83"/>
      <c r="Y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121"/>
      <c r="S870" s="83"/>
      <c r="T870" s="107"/>
      <c r="U870" s="83"/>
      <c r="V870" s="146"/>
      <c r="W870" s="83"/>
      <c r="X870" s="83"/>
      <c r="Y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121"/>
      <c r="S871" s="83"/>
      <c r="T871" s="107"/>
      <c r="U871" s="83"/>
      <c r="V871" s="146"/>
      <c r="W871" s="83"/>
      <c r="X871" s="83"/>
      <c r="Y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121"/>
      <c r="S872" s="83"/>
      <c r="T872" s="107"/>
      <c r="U872" s="83"/>
      <c r="V872" s="146"/>
      <c r="W872" s="83"/>
      <c r="X872" s="83"/>
      <c r="Y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121"/>
      <c r="S873" s="83"/>
      <c r="T873" s="107"/>
      <c r="U873" s="83"/>
      <c r="V873" s="146"/>
      <c r="W873" s="83"/>
      <c r="X873" s="83"/>
      <c r="Y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121"/>
      <c r="S874" s="83"/>
      <c r="T874" s="107"/>
      <c r="U874" s="83"/>
      <c r="V874" s="146"/>
      <c r="W874" s="83"/>
      <c r="X874" s="83"/>
      <c r="Y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121"/>
      <c r="S875" s="83"/>
      <c r="T875" s="107"/>
      <c r="U875" s="83"/>
      <c r="V875" s="146"/>
      <c r="W875" s="83"/>
      <c r="X875" s="83"/>
      <c r="Y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121"/>
      <c r="S876" s="83"/>
      <c r="T876" s="107"/>
      <c r="U876" s="83"/>
      <c r="V876" s="146"/>
      <c r="W876" s="83"/>
      <c r="X876" s="83"/>
      <c r="Y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121"/>
      <c r="S877" s="83"/>
      <c r="T877" s="107"/>
      <c r="U877" s="83"/>
      <c r="V877" s="146"/>
      <c r="W877" s="83"/>
      <c r="X877" s="83"/>
      <c r="Y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121"/>
      <c r="S878" s="83"/>
      <c r="T878" s="107"/>
      <c r="U878" s="83"/>
      <c r="V878" s="146"/>
      <c r="W878" s="83"/>
      <c r="X878" s="83"/>
      <c r="Y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121"/>
      <c r="S879" s="83"/>
      <c r="T879" s="107"/>
      <c r="U879" s="83"/>
      <c r="V879" s="146"/>
      <c r="W879" s="83"/>
      <c r="X879" s="83"/>
      <c r="Y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121"/>
      <c r="S880" s="83"/>
      <c r="T880" s="107"/>
      <c r="U880" s="83"/>
      <c r="V880" s="146"/>
      <c r="W880" s="83"/>
      <c r="X880" s="83"/>
      <c r="Y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121"/>
      <c r="S881" s="83"/>
      <c r="T881" s="107"/>
      <c r="U881" s="83"/>
      <c r="V881" s="146"/>
      <c r="W881" s="83"/>
      <c r="X881" s="83"/>
      <c r="Y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121"/>
      <c r="S882" s="83"/>
      <c r="T882" s="107"/>
      <c r="U882" s="83"/>
      <c r="V882" s="146"/>
      <c r="W882" s="83"/>
      <c r="X882" s="83"/>
      <c r="Y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121"/>
      <c r="S883" s="83"/>
      <c r="T883" s="107"/>
      <c r="U883" s="83"/>
      <c r="V883" s="146"/>
      <c r="W883" s="83"/>
      <c r="X883" s="83"/>
      <c r="Y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121"/>
      <c r="S884" s="83"/>
      <c r="T884" s="107"/>
      <c r="U884" s="83"/>
      <c r="V884" s="146"/>
      <c r="W884" s="83"/>
      <c r="X884" s="83"/>
      <c r="Y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121"/>
      <c r="S885" s="83"/>
      <c r="T885" s="107"/>
      <c r="U885" s="83"/>
      <c r="V885" s="146"/>
      <c r="W885" s="83"/>
      <c r="X885" s="83"/>
      <c r="Y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121"/>
      <c r="S886" s="83"/>
      <c r="T886" s="107"/>
      <c r="U886" s="83"/>
      <c r="V886" s="146"/>
      <c r="W886" s="83"/>
      <c r="X886" s="83"/>
      <c r="Y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121"/>
      <c r="S887" s="83"/>
      <c r="T887" s="107"/>
      <c r="U887" s="83"/>
      <c r="V887" s="146"/>
      <c r="W887" s="83"/>
      <c r="X887" s="83"/>
      <c r="Y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121"/>
      <c r="S888" s="83"/>
      <c r="T888" s="107"/>
      <c r="U888" s="83"/>
      <c r="V888" s="146"/>
      <c r="W888" s="83"/>
      <c r="X888" s="83"/>
      <c r="Y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121"/>
      <c r="S889" s="83"/>
      <c r="T889" s="107"/>
      <c r="U889" s="83"/>
      <c r="V889" s="146"/>
      <c r="W889" s="83"/>
      <c r="X889" s="83"/>
      <c r="Y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121"/>
      <c r="S890" s="83"/>
      <c r="T890" s="107"/>
      <c r="U890" s="83"/>
      <c r="V890" s="146"/>
      <c r="W890" s="83"/>
      <c r="X890" s="83"/>
      <c r="Y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121"/>
      <c r="S891" s="83"/>
      <c r="T891" s="107"/>
      <c r="U891" s="83"/>
      <c r="V891" s="146"/>
      <c r="W891" s="83"/>
      <c r="X891" s="83"/>
      <c r="Y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121"/>
      <c r="S892" s="83"/>
      <c r="T892" s="107"/>
      <c r="U892" s="83"/>
      <c r="V892" s="146"/>
      <c r="W892" s="83"/>
      <c r="X892" s="83"/>
      <c r="Y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121"/>
      <c r="S893" s="83"/>
      <c r="T893" s="107"/>
      <c r="U893" s="83"/>
      <c r="V893" s="146"/>
      <c r="W893" s="83"/>
      <c r="X893" s="83"/>
      <c r="Y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121"/>
      <c r="S894" s="83"/>
      <c r="T894" s="107"/>
      <c r="U894" s="83"/>
      <c r="V894" s="146"/>
      <c r="W894" s="83"/>
      <c r="X894" s="83"/>
      <c r="Y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121"/>
      <c r="S895" s="83"/>
      <c r="T895" s="107"/>
      <c r="U895" s="83"/>
      <c r="V895" s="146"/>
      <c r="W895" s="83"/>
      <c r="X895" s="83"/>
      <c r="Y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121"/>
      <c r="S896" s="83"/>
      <c r="T896" s="107"/>
      <c r="U896" s="83"/>
      <c r="V896" s="146"/>
      <c r="W896" s="83"/>
      <c r="X896" s="83"/>
      <c r="Y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121"/>
      <c r="S897" s="83"/>
      <c r="T897" s="107"/>
      <c r="U897" s="83"/>
      <c r="V897" s="146"/>
      <c r="W897" s="83"/>
      <c r="X897" s="83"/>
      <c r="Y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121"/>
      <c r="S898" s="83"/>
      <c r="T898" s="107"/>
      <c r="U898" s="83"/>
      <c r="V898" s="146"/>
      <c r="W898" s="83"/>
      <c r="X898" s="83"/>
      <c r="Y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121"/>
      <c r="S899" s="83"/>
      <c r="T899" s="107"/>
      <c r="U899" s="83"/>
      <c r="V899" s="146"/>
      <c r="W899" s="83"/>
      <c r="X899" s="83"/>
      <c r="Y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121"/>
      <c r="S900" s="83"/>
      <c r="T900" s="107"/>
      <c r="U900" s="83"/>
      <c r="V900" s="146"/>
      <c r="W900" s="83"/>
      <c r="X900" s="83"/>
      <c r="Y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121"/>
      <c r="S901" s="83"/>
      <c r="T901" s="107"/>
      <c r="U901" s="83"/>
      <c r="V901" s="146"/>
      <c r="W901" s="83"/>
      <c r="X901" s="83"/>
      <c r="Y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121"/>
      <c r="S902" s="83"/>
      <c r="T902" s="107"/>
      <c r="U902" s="83"/>
      <c r="V902" s="146"/>
      <c r="W902" s="83"/>
      <c r="X902" s="83"/>
      <c r="Y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121"/>
      <c r="S903" s="83"/>
      <c r="T903" s="107"/>
      <c r="U903" s="83"/>
      <c r="V903" s="146"/>
      <c r="W903" s="83"/>
      <c r="X903" s="83"/>
      <c r="Y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121"/>
      <c r="S904" s="83"/>
      <c r="T904" s="107"/>
      <c r="U904" s="83"/>
      <c r="V904" s="146"/>
      <c r="W904" s="83"/>
      <c r="X904" s="83"/>
      <c r="Y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121"/>
      <c r="S905" s="83"/>
      <c r="T905" s="107"/>
      <c r="U905" s="83"/>
      <c r="V905" s="146"/>
      <c r="W905" s="83"/>
      <c r="X905" s="83"/>
      <c r="Y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121"/>
      <c r="S906" s="83"/>
      <c r="T906" s="107"/>
      <c r="U906" s="83"/>
      <c r="V906" s="146"/>
      <c r="W906" s="83"/>
      <c r="X906" s="83"/>
      <c r="Y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121"/>
      <c r="S907" s="83"/>
      <c r="T907" s="107"/>
      <c r="U907" s="83"/>
      <c r="V907" s="146"/>
      <c r="W907" s="83"/>
      <c r="X907" s="83"/>
      <c r="Y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121"/>
      <c r="S908" s="83"/>
      <c r="T908" s="107"/>
      <c r="U908" s="83"/>
      <c r="V908" s="146"/>
      <c r="W908" s="83"/>
      <c r="X908" s="83"/>
      <c r="Y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121"/>
      <c r="S909" s="83"/>
      <c r="T909" s="107"/>
      <c r="U909" s="83"/>
      <c r="V909" s="146"/>
      <c r="W909" s="83"/>
      <c r="X909" s="83"/>
      <c r="Y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121"/>
      <c r="S910" s="83"/>
      <c r="T910" s="107"/>
      <c r="U910" s="83"/>
      <c r="V910" s="146"/>
      <c r="W910" s="83"/>
      <c r="X910" s="83"/>
      <c r="Y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121"/>
      <c r="S911" s="83"/>
      <c r="T911" s="107"/>
      <c r="U911" s="83"/>
      <c r="V911" s="146"/>
      <c r="W911" s="83"/>
      <c r="X911" s="83"/>
      <c r="Y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121"/>
      <c r="S912" s="83"/>
      <c r="T912" s="107"/>
      <c r="U912" s="83"/>
      <c r="V912" s="146"/>
      <c r="W912" s="83"/>
      <c r="X912" s="83"/>
      <c r="Y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121"/>
      <c r="S913" s="83"/>
      <c r="T913" s="107"/>
      <c r="U913" s="83"/>
      <c r="V913" s="146"/>
      <c r="W913" s="83"/>
      <c r="X913" s="83"/>
      <c r="Y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121"/>
      <c r="S914" s="83"/>
      <c r="T914" s="107"/>
      <c r="U914" s="83"/>
      <c r="V914" s="146"/>
      <c r="W914" s="83"/>
      <c r="X914" s="83"/>
      <c r="Y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121"/>
      <c r="S915" s="83"/>
      <c r="T915" s="107"/>
      <c r="U915" s="83"/>
      <c r="V915" s="146"/>
      <c r="W915" s="83"/>
      <c r="X915" s="83"/>
      <c r="Y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121"/>
      <c r="S916" s="83"/>
      <c r="T916" s="107"/>
      <c r="U916" s="83"/>
      <c r="V916" s="146"/>
      <c r="W916" s="83"/>
      <c r="X916" s="83"/>
      <c r="Y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121"/>
      <c r="S917" s="83"/>
      <c r="T917" s="107"/>
      <c r="U917" s="83"/>
      <c r="V917" s="146"/>
      <c r="W917" s="83"/>
      <c r="X917" s="83"/>
      <c r="Y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121"/>
      <c r="S918" s="83"/>
      <c r="T918" s="107"/>
      <c r="U918" s="83"/>
      <c r="V918" s="146"/>
      <c r="W918" s="83"/>
      <c r="X918" s="83"/>
      <c r="Y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121"/>
      <c r="S919" s="83"/>
      <c r="T919" s="107"/>
      <c r="U919" s="83"/>
      <c r="V919" s="146"/>
      <c r="W919" s="83"/>
      <c r="X919" s="83"/>
      <c r="Y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121"/>
      <c r="S920" s="83"/>
      <c r="T920" s="107"/>
      <c r="U920" s="83"/>
      <c r="V920" s="146"/>
      <c r="W920" s="83"/>
      <c r="X920" s="83"/>
      <c r="Y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121"/>
      <c r="S921" s="83"/>
      <c r="T921" s="107"/>
      <c r="U921" s="83"/>
      <c r="V921" s="146"/>
      <c r="W921" s="83"/>
      <c r="X921" s="83"/>
      <c r="Y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121"/>
      <c r="S922" s="83"/>
      <c r="T922" s="107"/>
      <c r="U922" s="83"/>
      <c r="V922" s="146"/>
      <c r="W922" s="83"/>
      <c r="X922" s="83"/>
      <c r="Y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121"/>
      <c r="S923" s="83"/>
      <c r="T923" s="107"/>
      <c r="U923" s="83"/>
      <c r="V923" s="146"/>
      <c r="W923" s="83"/>
      <c r="X923" s="83"/>
      <c r="Y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121"/>
      <c r="S924" s="83"/>
      <c r="T924" s="107"/>
      <c r="U924" s="83"/>
      <c r="V924" s="146"/>
      <c r="W924" s="83"/>
      <c r="X924" s="83"/>
      <c r="Y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121"/>
      <c r="S925" s="83"/>
      <c r="T925" s="107"/>
      <c r="U925" s="83"/>
      <c r="V925" s="146"/>
      <c r="W925" s="83"/>
      <c r="X925" s="83"/>
      <c r="Y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121"/>
      <c r="S926" s="83"/>
      <c r="T926" s="107"/>
      <c r="U926" s="83"/>
      <c r="V926" s="146"/>
      <c r="W926" s="83"/>
      <c r="X926" s="83"/>
      <c r="Y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121"/>
      <c r="S927" s="83"/>
      <c r="T927" s="107"/>
      <c r="U927" s="83"/>
      <c r="V927" s="146"/>
      <c r="W927" s="83"/>
      <c r="X927" s="83"/>
      <c r="Y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121"/>
      <c r="S928" s="83"/>
      <c r="T928" s="107"/>
      <c r="U928" s="83"/>
      <c r="V928" s="146"/>
      <c r="W928" s="83"/>
      <c r="X928" s="83"/>
      <c r="Y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121"/>
      <c r="S929" s="83"/>
      <c r="T929" s="107"/>
      <c r="U929" s="83"/>
      <c r="V929" s="146"/>
      <c r="W929" s="83"/>
      <c r="X929" s="83"/>
      <c r="Y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121"/>
      <c r="S930" s="83"/>
      <c r="T930" s="107"/>
      <c r="U930" s="83"/>
      <c r="V930" s="146"/>
      <c r="W930" s="83"/>
      <c r="X930" s="83"/>
      <c r="Y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121"/>
      <c r="S931" s="83"/>
      <c r="T931" s="107"/>
      <c r="U931" s="83"/>
      <c r="V931" s="146"/>
      <c r="W931" s="83"/>
      <c r="X931" s="83"/>
      <c r="Y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121"/>
      <c r="S932" s="83"/>
      <c r="T932" s="107"/>
      <c r="U932" s="83"/>
      <c r="V932" s="146"/>
      <c r="W932" s="83"/>
      <c r="X932" s="83"/>
      <c r="Y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121"/>
      <c r="S933" s="83"/>
      <c r="T933" s="107"/>
      <c r="U933" s="83"/>
      <c r="V933" s="146"/>
      <c r="W933" s="83"/>
      <c r="X933" s="83"/>
      <c r="Y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121"/>
      <c r="S934" s="83"/>
      <c r="T934" s="107"/>
      <c r="U934" s="83"/>
      <c r="V934" s="146"/>
      <c r="W934" s="83"/>
      <c r="X934" s="83"/>
      <c r="Y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121"/>
      <c r="S935" s="83"/>
      <c r="T935" s="107"/>
      <c r="U935" s="83"/>
      <c r="V935" s="146"/>
      <c r="W935" s="83"/>
      <c r="X935" s="83"/>
      <c r="Y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121"/>
      <c r="S936" s="83"/>
      <c r="T936" s="107"/>
      <c r="U936" s="83"/>
      <c r="V936" s="146"/>
      <c r="W936" s="83"/>
      <c r="X936" s="83"/>
      <c r="Y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121"/>
      <c r="S937" s="83"/>
      <c r="T937" s="107"/>
      <c r="U937" s="83"/>
      <c r="V937" s="146"/>
      <c r="W937" s="83"/>
      <c r="X937" s="83"/>
      <c r="Y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121"/>
      <c r="S938" s="83"/>
      <c r="T938" s="107"/>
      <c r="U938" s="83"/>
      <c r="V938" s="146"/>
      <c r="W938" s="83"/>
      <c r="X938" s="83"/>
      <c r="Y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121"/>
      <c r="S939" s="83"/>
      <c r="T939" s="107"/>
      <c r="U939" s="83"/>
      <c r="V939" s="146"/>
      <c r="W939" s="83"/>
      <c r="X939" s="83"/>
      <c r="Y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121"/>
      <c r="S940" s="83"/>
      <c r="T940" s="107"/>
      <c r="U940" s="83"/>
      <c r="V940" s="146"/>
      <c r="W940" s="83"/>
      <c r="X940" s="83"/>
      <c r="Y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121"/>
      <c r="S941" s="83"/>
      <c r="T941" s="107"/>
      <c r="U941" s="83"/>
      <c r="V941" s="146"/>
      <c r="W941" s="83"/>
      <c r="X941" s="83"/>
      <c r="Y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121"/>
      <c r="S942" s="83"/>
      <c r="T942" s="107"/>
      <c r="U942" s="83"/>
      <c r="V942" s="146"/>
      <c r="W942" s="83"/>
      <c r="X942" s="83"/>
      <c r="Y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121"/>
      <c r="S943" s="83"/>
      <c r="T943" s="107"/>
      <c r="U943" s="83"/>
      <c r="V943" s="146"/>
      <c r="W943" s="83"/>
      <c r="X943" s="83"/>
      <c r="Y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121"/>
      <c r="S944" s="83"/>
      <c r="T944" s="107"/>
      <c r="U944" s="83"/>
      <c r="V944" s="146"/>
      <c r="W944" s="83"/>
      <c r="X944" s="83"/>
      <c r="Y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121"/>
      <c r="S945" s="83"/>
      <c r="T945" s="107"/>
      <c r="U945" s="83"/>
      <c r="V945" s="146"/>
      <c r="W945" s="83"/>
      <c r="X945" s="83"/>
      <c r="Y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121"/>
      <c r="S946" s="83"/>
      <c r="T946" s="107"/>
      <c r="U946" s="83"/>
      <c r="V946" s="146"/>
      <c r="W946" s="83"/>
      <c r="X946" s="83"/>
      <c r="Y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121"/>
      <c r="S947" s="83"/>
      <c r="T947" s="107"/>
      <c r="U947" s="83"/>
      <c r="V947" s="146"/>
      <c r="W947" s="83"/>
      <c r="X947" s="83"/>
      <c r="Y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121"/>
      <c r="S948" s="83"/>
      <c r="T948" s="107"/>
      <c r="U948" s="83"/>
      <c r="V948" s="146"/>
      <c r="W948" s="83"/>
      <c r="X948" s="83"/>
      <c r="Y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121"/>
      <c r="S949" s="83"/>
      <c r="T949" s="107"/>
      <c r="U949" s="83"/>
      <c r="V949" s="146"/>
      <c r="W949" s="83"/>
      <c r="X949" s="83"/>
      <c r="Y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121"/>
      <c r="S950" s="83"/>
      <c r="T950" s="107"/>
      <c r="U950" s="83"/>
      <c r="V950" s="146"/>
      <c r="W950" s="83"/>
      <c r="X950" s="83"/>
      <c r="Y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121"/>
      <c r="S951" s="83"/>
      <c r="T951" s="107"/>
      <c r="U951" s="83"/>
      <c r="V951" s="146"/>
      <c r="W951" s="83"/>
      <c r="X951" s="83"/>
      <c r="Y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121"/>
      <c r="S952" s="83"/>
      <c r="T952" s="107"/>
      <c r="U952" s="83"/>
      <c r="V952" s="146"/>
      <c r="W952" s="83"/>
      <c r="X952" s="83"/>
      <c r="Y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121"/>
      <c r="S953" s="83"/>
      <c r="T953" s="107"/>
      <c r="U953" s="83"/>
      <c r="V953" s="146"/>
      <c r="W953" s="83"/>
      <c r="X953" s="83"/>
      <c r="Y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121"/>
      <c r="S954" s="83"/>
      <c r="T954" s="107"/>
      <c r="U954" s="83"/>
      <c r="V954" s="146"/>
      <c r="W954" s="83"/>
      <c r="X954" s="83"/>
      <c r="Y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121"/>
      <c r="S955" s="83"/>
      <c r="T955" s="107"/>
      <c r="U955" s="83"/>
      <c r="V955" s="146"/>
      <c r="W955" s="83"/>
      <c r="X955" s="83"/>
      <c r="Y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121"/>
      <c r="S956" s="83"/>
      <c r="T956" s="107"/>
      <c r="U956" s="83"/>
      <c r="V956" s="146"/>
      <c r="W956" s="83"/>
      <c r="X956" s="83"/>
      <c r="Y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121"/>
      <c r="S957" s="83"/>
      <c r="T957" s="107"/>
      <c r="U957" s="83"/>
      <c r="V957" s="146"/>
      <c r="W957" s="83"/>
      <c r="X957" s="83"/>
      <c r="Y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121"/>
      <c r="S958" s="83"/>
      <c r="T958" s="107"/>
      <c r="U958" s="83"/>
      <c r="V958" s="146"/>
      <c r="W958" s="83"/>
      <c r="X958" s="83"/>
      <c r="Y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121"/>
      <c r="S959" s="83"/>
      <c r="T959" s="107"/>
      <c r="U959" s="83"/>
      <c r="V959" s="146"/>
      <c r="W959" s="83"/>
      <c r="X959" s="83"/>
      <c r="Y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121"/>
      <c r="S960" s="83"/>
      <c r="T960" s="107"/>
      <c r="U960" s="83"/>
      <c r="V960" s="146"/>
      <c r="W960" s="83"/>
      <c r="X960" s="83"/>
      <c r="Y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121"/>
      <c r="S961" s="83"/>
      <c r="T961" s="107"/>
      <c r="U961" s="83"/>
      <c r="V961" s="146"/>
      <c r="W961" s="83"/>
      <c r="X961" s="83"/>
      <c r="Y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121"/>
      <c r="S962" s="83"/>
      <c r="T962" s="107"/>
      <c r="U962" s="83"/>
      <c r="V962" s="146"/>
      <c r="W962" s="83"/>
      <c r="X962" s="83"/>
      <c r="Y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121"/>
      <c r="S963" s="83"/>
      <c r="T963" s="107"/>
      <c r="U963" s="83"/>
      <c r="V963" s="146"/>
      <c r="W963" s="83"/>
      <c r="X963" s="83"/>
      <c r="Y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121"/>
      <c r="S964" s="83"/>
      <c r="T964" s="107"/>
      <c r="U964" s="83"/>
      <c r="V964" s="146"/>
      <c r="W964" s="83"/>
      <c r="X964" s="83"/>
      <c r="Y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121"/>
      <c r="S965" s="83"/>
      <c r="T965" s="107"/>
      <c r="U965" s="83"/>
      <c r="V965" s="146"/>
      <c r="W965" s="83"/>
      <c r="X965" s="83"/>
      <c r="Y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121"/>
      <c r="S966" s="83"/>
      <c r="T966" s="107"/>
      <c r="U966" s="83"/>
      <c r="V966" s="146"/>
      <c r="W966" s="83"/>
      <c r="X966" s="83"/>
      <c r="Y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121"/>
      <c r="S967" s="83"/>
      <c r="T967" s="107"/>
      <c r="U967" s="83"/>
      <c r="V967" s="146"/>
      <c r="W967" s="83"/>
      <c r="X967" s="83"/>
      <c r="Y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121"/>
      <c r="S968" s="83"/>
      <c r="T968" s="107"/>
      <c r="U968" s="83"/>
      <c r="V968" s="146"/>
      <c r="W968" s="83"/>
      <c r="X968" s="83"/>
      <c r="Y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121"/>
      <c r="S969" s="83"/>
      <c r="T969" s="107"/>
      <c r="U969" s="83"/>
      <c r="V969" s="146"/>
      <c r="W969" s="83"/>
      <c r="X969" s="83"/>
      <c r="Y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121"/>
      <c r="S970" s="83"/>
      <c r="T970" s="107"/>
      <c r="U970" s="83"/>
      <c r="V970" s="146"/>
      <c r="W970" s="83"/>
      <c r="X970" s="83"/>
      <c r="Y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121"/>
      <c r="S971" s="83"/>
      <c r="T971" s="107"/>
      <c r="U971" s="83"/>
      <c r="V971" s="146"/>
      <c r="W971" s="83"/>
      <c r="X971" s="83"/>
      <c r="Y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121"/>
      <c r="S972" s="83"/>
      <c r="T972" s="107"/>
      <c r="U972" s="83"/>
      <c r="V972" s="146"/>
      <c r="W972" s="83"/>
      <c r="X972" s="83"/>
      <c r="Y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121"/>
      <c r="S973" s="83"/>
      <c r="T973" s="107"/>
      <c r="U973" s="83"/>
      <c r="V973" s="146"/>
      <c r="W973" s="83"/>
      <c r="X973" s="83"/>
      <c r="Y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121"/>
      <c r="S974" s="83"/>
      <c r="T974" s="107"/>
      <c r="U974" s="83"/>
      <c r="V974" s="146"/>
      <c r="W974" s="83"/>
      <c r="X974" s="83"/>
      <c r="Y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121"/>
      <c r="S975" s="83"/>
      <c r="T975" s="107"/>
      <c r="U975" s="83"/>
      <c r="V975" s="146"/>
      <c r="W975" s="83"/>
      <c r="X975" s="83"/>
      <c r="Y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121"/>
      <c r="S976" s="83"/>
      <c r="T976" s="107"/>
      <c r="U976" s="83"/>
      <c r="V976" s="146"/>
      <c r="W976" s="83"/>
      <c r="X976" s="83"/>
      <c r="Y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121"/>
      <c r="S977" s="83"/>
      <c r="T977" s="107"/>
      <c r="U977" s="83"/>
      <c r="V977" s="146"/>
      <c r="W977" s="83"/>
      <c r="X977" s="83"/>
      <c r="Y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121"/>
      <c r="S978" s="83"/>
      <c r="T978" s="107"/>
      <c r="U978" s="83"/>
      <c r="V978" s="146"/>
      <c r="W978" s="83"/>
      <c r="X978" s="83"/>
      <c r="Y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121"/>
      <c r="S979" s="83"/>
      <c r="T979" s="107"/>
      <c r="U979" s="83"/>
      <c r="V979" s="146"/>
      <c r="W979" s="83"/>
      <c r="X979" s="83"/>
      <c r="Y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121"/>
      <c r="S980" s="83"/>
      <c r="T980" s="107"/>
      <c r="U980" s="83"/>
      <c r="V980" s="146"/>
      <c r="W980" s="83"/>
      <c r="X980" s="83"/>
      <c r="Y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121"/>
      <c r="S981" s="83"/>
      <c r="T981" s="107"/>
      <c r="U981" s="83"/>
      <c r="V981" s="146"/>
      <c r="W981" s="83"/>
      <c r="X981" s="83"/>
      <c r="Y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121"/>
      <c r="S982" s="83"/>
      <c r="T982" s="107"/>
      <c r="U982" s="83"/>
      <c r="V982" s="146"/>
      <c r="W982" s="83"/>
      <c r="X982" s="83"/>
      <c r="Y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121"/>
      <c r="S983" s="83"/>
      <c r="T983" s="107"/>
      <c r="U983" s="83"/>
      <c r="V983" s="146"/>
      <c r="W983" s="83"/>
      <c r="X983" s="83"/>
      <c r="Y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121"/>
      <c r="S984" s="83"/>
      <c r="T984" s="107"/>
      <c r="U984" s="83"/>
      <c r="V984" s="146"/>
      <c r="W984" s="83"/>
      <c r="X984" s="83"/>
      <c r="Y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121"/>
      <c r="S985" s="83"/>
      <c r="T985" s="107"/>
      <c r="U985" s="83"/>
      <c r="V985" s="146"/>
      <c r="W985" s="83"/>
      <c r="X985" s="83"/>
      <c r="Y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121"/>
      <c r="S986" s="83"/>
      <c r="T986" s="107"/>
      <c r="U986" s="83"/>
      <c r="V986" s="146"/>
      <c r="W986" s="83"/>
      <c r="X986" s="83"/>
      <c r="Y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121"/>
      <c r="S987" s="83"/>
      <c r="T987" s="107"/>
      <c r="U987" s="83"/>
      <c r="V987" s="146"/>
      <c r="W987" s="83"/>
      <c r="X987" s="83"/>
      <c r="Y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121"/>
      <c r="S988" s="83"/>
      <c r="T988" s="107"/>
      <c r="U988" s="83"/>
      <c r="V988" s="146"/>
      <c r="W988" s="83"/>
      <c r="X988" s="83"/>
      <c r="Y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121"/>
      <c r="S989" s="83"/>
      <c r="T989" s="107"/>
      <c r="U989" s="83"/>
      <c r="V989" s="146"/>
      <c r="W989" s="83"/>
      <c r="X989" s="83"/>
      <c r="Y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121"/>
      <c r="S990" s="83"/>
      <c r="T990" s="107"/>
      <c r="U990" s="83"/>
      <c r="V990" s="146"/>
      <c r="W990" s="83"/>
      <c r="X990" s="83"/>
      <c r="Y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121"/>
      <c r="S991" s="83"/>
      <c r="T991" s="107"/>
      <c r="U991" s="83"/>
      <c r="V991" s="146"/>
      <c r="W991" s="83"/>
      <c r="X991" s="83"/>
      <c r="Y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121"/>
      <c r="S992" s="83"/>
      <c r="T992" s="107"/>
      <c r="U992" s="83"/>
      <c r="V992" s="146"/>
      <c r="W992" s="83"/>
      <c r="X992" s="83"/>
      <c r="Y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121"/>
      <c r="S993" s="83"/>
      <c r="T993" s="107"/>
      <c r="U993" s="83"/>
      <c r="V993" s="146"/>
      <c r="W993" s="83"/>
      <c r="X993" s="83"/>
      <c r="Y993" s="83"/>
    </row>
    <row r="994">
      <c r="A994" s="83"/>
      <c r="B994" s="83"/>
      <c r="C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121"/>
      <c r="S994" s="83"/>
      <c r="T994" s="107"/>
      <c r="U994" s="83"/>
      <c r="V994" s="146"/>
      <c r="W994" s="83"/>
      <c r="X994" s="83"/>
      <c r="Y994" s="83"/>
    </row>
    <row r="995">
      <c r="A995" s="83"/>
      <c r="B995" s="83"/>
      <c r="C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121"/>
      <c r="S995" s="83"/>
      <c r="T995" s="107"/>
      <c r="U995" s="83"/>
      <c r="V995" s="146"/>
      <c r="W995" s="83"/>
      <c r="X995" s="83"/>
      <c r="Y995" s="83"/>
    </row>
    <row r="996">
      <c r="A996" s="83"/>
      <c r="C996" s="83"/>
      <c r="E996" s="83"/>
      <c r="F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121"/>
      <c r="S996" s="83"/>
      <c r="T996" s="107"/>
      <c r="U996" s="83"/>
      <c r="V996" s="146"/>
      <c r="W996" s="83"/>
      <c r="X996" s="83"/>
      <c r="Y996" s="83"/>
    </row>
    <row r="997">
      <c r="A997" s="83"/>
      <c r="C997" s="83"/>
      <c r="E997" s="83"/>
      <c r="F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121"/>
      <c r="T997" s="107"/>
      <c r="U997" s="83"/>
      <c r="V997" s="146"/>
      <c r="W997" s="83"/>
      <c r="X997" s="83"/>
      <c r="Y997" s="83"/>
    </row>
    <row r="998">
      <c r="A998" s="83"/>
      <c r="C998" s="83"/>
      <c r="E998" s="83"/>
      <c r="H998" s="83"/>
      <c r="I998" s="83"/>
      <c r="J998" s="83"/>
      <c r="L998" s="83"/>
      <c r="M998" s="83"/>
      <c r="N998" s="83"/>
      <c r="O998" s="83"/>
      <c r="P998" s="83"/>
      <c r="Q998" s="83"/>
      <c r="R998" s="121"/>
      <c r="T998" s="107"/>
      <c r="U998" s="83"/>
      <c r="V998" s="146"/>
      <c r="W998" s="83"/>
      <c r="X998" s="83"/>
      <c r="Y998" s="83"/>
    </row>
    <row r="999">
      <c r="A999" s="83"/>
      <c r="C999" s="83"/>
      <c r="E999" s="83"/>
      <c r="H999" s="83"/>
      <c r="I999" s="83"/>
      <c r="J999" s="83"/>
      <c r="L999" s="83"/>
      <c r="M999" s="83"/>
      <c r="N999" s="83"/>
      <c r="O999" s="83"/>
      <c r="P999" s="83"/>
      <c r="R999" s="121"/>
      <c r="T999" s="107"/>
      <c r="U999" s="83"/>
      <c r="V999" s="146"/>
      <c r="W999" s="83"/>
      <c r="X999" s="83"/>
      <c r="Y999" s="83"/>
    </row>
  </sheetData>
  <mergeCells count="2">
    <mergeCell ref="A4:A39"/>
    <mergeCell ref="A40:A51"/>
  </mergeCells>
  <conditionalFormatting sqref="B1:B999 C1:C16 D1:U999 V1:V3 V10 C18:C40 V39 C42:C999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7" width="16.25"/>
    <col customWidth="1" min="8" max="8" width="28.13"/>
    <col customWidth="1" min="9" max="11" width="16.25"/>
    <col customWidth="1" min="12" max="12" width="23.38"/>
    <col customWidth="1" min="13" max="14" width="16.25"/>
  </cols>
  <sheetData>
    <row r="1">
      <c r="A1" s="1" t="s">
        <v>0</v>
      </c>
      <c r="B1" s="1" t="s">
        <v>1</v>
      </c>
      <c r="C1" s="1" t="s">
        <v>907</v>
      </c>
      <c r="D1" s="1" t="s">
        <v>3</v>
      </c>
      <c r="E1" s="1" t="s">
        <v>908</v>
      </c>
      <c r="F1" s="1" t="s">
        <v>5</v>
      </c>
      <c r="G1" s="1" t="s">
        <v>6</v>
      </c>
      <c r="H1" s="1" t="s">
        <v>8</v>
      </c>
      <c r="I1" s="1" t="s">
        <v>909</v>
      </c>
      <c r="J1" s="1" t="s">
        <v>7</v>
      </c>
      <c r="K1" s="1" t="s">
        <v>758</v>
      </c>
      <c r="L1" s="1" t="s">
        <v>910</v>
      </c>
      <c r="M1" s="147"/>
      <c r="N1" s="147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</row>
    <row r="2">
      <c r="A2" s="149" t="s">
        <v>911</v>
      </c>
      <c r="B2" s="150" t="s">
        <v>912</v>
      </c>
      <c r="C2" s="151" t="s">
        <v>913</v>
      </c>
      <c r="D2" s="150" t="s">
        <v>914</v>
      </c>
      <c r="E2" s="152" t="s">
        <v>915</v>
      </c>
      <c r="F2" s="151">
        <v>8.925919009E9</v>
      </c>
      <c r="G2" s="153" t="s">
        <v>916</v>
      </c>
      <c r="H2" s="154" t="s">
        <v>917</v>
      </c>
      <c r="I2" s="154"/>
      <c r="J2" s="154" t="s">
        <v>918</v>
      </c>
      <c r="K2" s="154" t="s">
        <v>919</v>
      </c>
      <c r="L2" s="154" t="s">
        <v>920</v>
      </c>
      <c r="M2" s="155" t="s">
        <v>921</v>
      </c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</row>
    <row r="3">
      <c r="A3" s="156" t="s">
        <v>922</v>
      </c>
      <c r="B3" s="154" t="s">
        <v>923</v>
      </c>
      <c r="C3" s="157">
        <v>101.0</v>
      </c>
      <c r="D3" s="154"/>
      <c r="E3" s="154" t="s">
        <v>924</v>
      </c>
      <c r="F3" s="158">
        <v>8.9379840232E10</v>
      </c>
      <c r="G3" s="159" t="s">
        <v>925</v>
      </c>
      <c r="H3" s="160" t="s">
        <v>926</v>
      </c>
      <c r="I3" s="154"/>
      <c r="J3" s="154"/>
      <c r="K3" s="154"/>
      <c r="L3" s="154"/>
      <c r="M3" s="161"/>
      <c r="N3" s="161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</row>
    <row r="4">
      <c r="A4" s="162" t="s">
        <v>927</v>
      </c>
      <c r="B4" s="163" t="str">
        <f>LEFT(A4,FIND(CHAR(160),SUBSTITUTE(A4," ",CHAR(160),2)) - 1)</f>
        <v>Акопян Микаэла</v>
      </c>
      <c r="C4" s="164">
        <v>423.0</v>
      </c>
      <c r="D4" s="165" t="s">
        <v>928</v>
      </c>
      <c r="E4" s="163" t="str">
        <f t="array" ref="E4">IF(ISERROR(MATCH(1,INDEX(('Списки блоков'!$B$2:$B1010=B4)*(ROW('Списки блоков'!$B$2:$B1010)&lt;&gt;ROW('Списки блоков'!$B$3)),0),0)),"","БДНС,")
&amp;IF(ISERROR(MATCH(1,INDEX(('Списки блоков'!$C$2:$C1010=B4)*(ROW('Списки блоков'!$C$2:$C1010)&lt;&gt;ROW('Списки блоков'!$C$3)),0),0)),"","Видеолаба,")
&amp;IF(ISERROR(MATCH(1,INDEX(('Списки блоков'!$D$2:$D1010=B4)*(ROW('Списки блоков'!$D$2:$D1010)&lt;&gt;ROW('Списки блоков'!$D$3)),0),0)),"","Декораторы,")
&amp;IF(ISERROR(MATCH(1,INDEX(('Списки блоков'!$E$2:$E1010=B4)*(ROW('Списки блоков'!$E$2:$E1010)&lt;&gt;ROW('Списки блоков'!$E$3)),0),0)),"","Дизайн,")
&amp;IF(ISERROR(MATCH(1,INDEX(('Списки блоков'!$F$2:$F1010=B4)*(ROW('Списки блоков'!$F$2:$F1010)&lt;&gt;ROW('Списки блоков'!$F$3)),0),0)),"","Досуг,")
&amp;IF(ISERROR(MATCH(1,INDEX(('Списки блоков'!$G$2:$G1010=B4)*(ROW('Списки блоков'!$G$2:$G1010)&lt;&gt;ROW('Списки блоков'!$G$3)),0),0)),"","Закупки,")
&amp;IF(ISERROR(MATCH(1,INDEX(('Списки блоков'!$H$2:$H1010=B4)*(ROW('Списки блоков'!$H$2:$H1010)&lt;&gt;ROW('Списки блоков'!$H$3)),0),0)),"","ИнфоБлок,")
&amp;IF(ISERROR(MATCH(1,INDEX(('Списки блоков'!$I$2:$I1010=B4)*(ROW('Списки блоков'!$I$2:$I1010)&lt;&gt;ROW('Списки блоков'!$I$3)),0),0)),"","КГ,")
&amp;IF(ISERROR(MATCH(1,INDEX(('Списки блоков'!$J$2:$J1010=B4)*(ROW('Списки блоков'!$J$2:$J1010)&lt;&gt;ROW('Списки блоков'!$J$3)),0),0)),"","МП,")
&amp;IF(ISERROR(MATCH(1,INDEX(('Списки блоков'!$K$2:$K1010=B4)*(ROW('Списки блоков'!$K$2:$K1010)&lt;&gt;ROW('Списки блоков'!$K$3)),0),0)),"","Профорги,")
&amp;IF(ISERROR(MATCH(1,INDEX(('Списки блоков'!$L$2:$L1010=B4)*(ROW('Списки блоков'!$L$2:$L1010)&lt;&gt;ROW('Списки блоков'!$L$3)),0),0)),"","Спонсоры,")
&amp;IF(ISERROR(MATCH(1,INDEX(('Списки блоков'!$M$2:$M1010=B4)*(ROW('Списки блоков'!$M$2:$M1010)&lt;&gt;ROW('Списки блоков'!$M$3)),0),0)),"","Склад,")
&amp;IF(ISERROR(MATCH(1,INDEX(('Списки блоков'!$N$2:$N1010=B4)*(ROW('Списки блоков'!$N$2:$N1010)&lt;&gt;ROW('Списки блоков'!$N$3)),0),0)),"","Сценаристы,")
&amp;IF(ISERROR(MATCH(1,INDEX(('Списки блоков'!$O$2:$O1010=B4)*(ROW('Списки блоков'!$O$2:$O1010)&lt;&gt;ROW('Списки блоков'!$O$3)),0),0)),"","Техники,")
&amp;IF(ISERROR(MATCH(1,INDEX(('Списки блоков'!$P$2:$P1010=B4)*(ROW('Списки блоков'!$P$2:$P1010)&lt;&gt;ROW('Списки блоков'!$P$3)),0),0)),"","УРС,")
&amp;IF(ISERROR(MATCH(1,INDEX(('Списки блоков'!$Q$2:$Q1010=B4)*(ROW('Списки блоков'!$Q$2:$Q1010)&lt;&gt;ROW('Списки блоков'!$Q$3)),0),0)),"","Фото,")
&amp;IF(ISERROR(MATCH(1,INDEX((#REF!=B4)*(ROW(#REF!)&lt;&gt;ROW(#REF!)),0),0)),"","ЭкоБлок,")
&amp;IF(ISERROR(MATCH(1,INDEX(('Списки блоков'!$R$2:$R1010=B4)*(ROW('Списки блоков'!$R$2:$R1010)&lt;&gt;ROW('Списки блоков'!$R$3)),0),0)),"","HR,")
&amp;IF(ISERROR(MATCH(1,INDEX(('Списки блоков'!$S$2:$S1010=B4)*(ROW('Списки блоков'!$S$2:$S1010)&lt;&gt;ROW('Списки блоков'!$S$3)),0),0)),"","Instagram,")
&amp;IF(ISERROR(MATCH(1,INDEX(('Списки блоков'!$T$2:$T1010=B4)*(ROW('Списки блоков'!$T$2:$T1010)&lt;&gt;ROW('Списки блоков'!$T$3)),0),0)),"","Zachёt,")
&amp;IF(ISERROR(MATCH(1,INDEX(('Списки блоков'!$U$2:$U1010=B4)*(ROW('Списки блоков'!$U$2:$U1010)&lt;&gt;ROW('Списки блоков'!$U$3)),0),0)),"","IT,")
&amp;IF(ISERROR(MATCH(1,INDEX(('Списки блоков'!$V$2:$V1010=B4)*(ROW('Списки блоков'!$V$2:$V1010)&lt;&gt;ROW('Списки блоков'!$V$3)),0),0)),"","ДК,")
</f>
        <v/>
      </c>
      <c r="F4" s="166">
        <v>8.9175721261E10</v>
      </c>
      <c r="G4" s="167" t="s">
        <v>929</v>
      </c>
      <c r="H4" s="165" t="s">
        <v>930</v>
      </c>
      <c r="I4" s="165" t="s">
        <v>931</v>
      </c>
      <c r="J4" s="162" t="s">
        <v>22</v>
      </c>
      <c r="K4" s="168"/>
      <c r="L4" s="168"/>
      <c r="AA4" s="155"/>
      <c r="AB4" s="155"/>
      <c r="AC4" s="155"/>
      <c r="AD4" s="155"/>
      <c r="AE4" s="155"/>
    </row>
    <row r="5">
      <c r="A5" s="156" t="s">
        <v>932</v>
      </c>
      <c r="B5" s="154" t="s">
        <v>933</v>
      </c>
      <c r="C5" s="157">
        <v>103.0</v>
      </c>
      <c r="D5" s="154"/>
      <c r="E5" s="154" t="s">
        <v>934</v>
      </c>
      <c r="F5" s="160" t="s">
        <v>935</v>
      </c>
      <c r="G5" s="159" t="s">
        <v>936</v>
      </c>
      <c r="H5" s="160" t="s">
        <v>937</v>
      </c>
      <c r="I5" s="154"/>
      <c r="J5" s="154"/>
      <c r="K5" s="154"/>
      <c r="L5" s="154"/>
      <c r="M5" s="150"/>
      <c r="N5" s="150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</row>
    <row r="6">
      <c r="A6" s="169" t="s">
        <v>938</v>
      </c>
      <c r="B6" s="170" t="s">
        <v>939</v>
      </c>
      <c r="C6" s="171">
        <v>423.0</v>
      </c>
      <c r="D6" s="170" t="s">
        <v>940</v>
      </c>
      <c r="E6" s="172" t="s">
        <v>941</v>
      </c>
      <c r="F6" s="171">
        <v>8.9178009074E10</v>
      </c>
      <c r="G6" s="173" t="s">
        <v>942</v>
      </c>
      <c r="H6" s="172" t="s">
        <v>943</v>
      </c>
      <c r="I6" s="172" t="s">
        <v>944</v>
      </c>
      <c r="J6" s="172" t="s">
        <v>945</v>
      </c>
      <c r="K6" s="174" t="s">
        <v>946</v>
      </c>
      <c r="L6" s="154"/>
      <c r="M6" s="155"/>
      <c r="N6" s="155"/>
      <c r="O6" s="175"/>
      <c r="P6" s="176" t="s">
        <v>947</v>
      </c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</row>
    <row r="7">
      <c r="A7" s="177" t="s">
        <v>948</v>
      </c>
      <c r="B7" s="154"/>
      <c r="C7" s="151">
        <v>208.0</v>
      </c>
      <c r="D7" s="150" t="s">
        <v>949</v>
      </c>
      <c r="E7" s="154" t="s">
        <v>950</v>
      </c>
      <c r="F7" s="151">
        <v>8.9601410575E10</v>
      </c>
      <c r="G7" s="178" t="s">
        <v>951</v>
      </c>
      <c r="H7" s="154" t="s">
        <v>952</v>
      </c>
      <c r="I7" s="154" t="s">
        <v>953</v>
      </c>
      <c r="J7" s="154" t="s">
        <v>954</v>
      </c>
      <c r="K7" s="154" t="s">
        <v>954</v>
      </c>
      <c r="L7" s="154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</row>
    <row r="8">
      <c r="A8" s="179" t="s">
        <v>29</v>
      </c>
      <c r="B8" s="180" t="s">
        <v>811</v>
      </c>
      <c r="C8" s="181">
        <v>109.0</v>
      </c>
      <c r="D8" s="172" t="s">
        <v>955</v>
      </c>
      <c r="E8" s="180" t="s">
        <v>956</v>
      </c>
      <c r="F8" s="182" t="s">
        <v>957</v>
      </c>
      <c r="G8" s="183" t="s">
        <v>31</v>
      </c>
      <c r="H8" s="184" t="s">
        <v>33</v>
      </c>
      <c r="I8" s="154"/>
      <c r="J8" s="172" t="s">
        <v>958</v>
      </c>
      <c r="K8" s="172" t="s">
        <v>959</v>
      </c>
      <c r="L8" s="154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</row>
    <row r="9">
      <c r="A9" s="185" t="s">
        <v>960</v>
      </c>
      <c r="B9" s="180" t="s">
        <v>961</v>
      </c>
      <c r="C9" s="186">
        <v>210.0</v>
      </c>
      <c r="D9" s="150" t="s">
        <v>962</v>
      </c>
      <c r="E9" s="187" t="s">
        <v>956</v>
      </c>
      <c r="F9" s="188">
        <v>7.919728619E10</v>
      </c>
      <c r="G9" s="189" t="s">
        <v>963</v>
      </c>
      <c r="H9" s="180" t="s">
        <v>964</v>
      </c>
      <c r="I9" s="190" t="s">
        <v>965</v>
      </c>
      <c r="J9" s="191"/>
      <c r="K9" s="154" t="s">
        <v>966</v>
      </c>
      <c r="L9" s="154" t="s">
        <v>967</v>
      </c>
      <c r="M9" s="155" t="s">
        <v>968</v>
      </c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55"/>
    </row>
    <row r="10">
      <c r="A10" s="177" t="s">
        <v>969</v>
      </c>
      <c r="B10" s="192" t="s">
        <v>970</v>
      </c>
      <c r="C10" s="186">
        <v>316.0</v>
      </c>
      <c r="D10" s="187" t="s">
        <v>971</v>
      </c>
      <c r="E10" s="187" t="s">
        <v>972</v>
      </c>
      <c r="F10" s="186">
        <v>8.9672252384E10</v>
      </c>
      <c r="G10" s="193" t="s">
        <v>973</v>
      </c>
      <c r="H10" s="187" t="s">
        <v>974</v>
      </c>
      <c r="I10" s="191"/>
      <c r="J10" s="191"/>
      <c r="K10" s="150" t="s">
        <v>975</v>
      </c>
      <c r="L10" s="150" t="s">
        <v>976</v>
      </c>
      <c r="M10" s="161" t="s">
        <v>977</v>
      </c>
      <c r="N10" s="194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</row>
    <row r="11">
      <c r="A11" s="177" t="s">
        <v>978</v>
      </c>
      <c r="B11" s="154"/>
      <c r="C11" s="151">
        <v>521.0</v>
      </c>
      <c r="D11" s="150" t="s">
        <v>979</v>
      </c>
      <c r="E11" s="154" t="s">
        <v>980</v>
      </c>
      <c r="F11" s="151">
        <v>8.9035802182E10</v>
      </c>
      <c r="G11" s="178" t="s">
        <v>981</v>
      </c>
      <c r="H11" s="154" t="s">
        <v>982</v>
      </c>
      <c r="I11" s="154" t="s">
        <v>983</v>
      </c>
      <c r="J11" s="154" t="s">
        <v>984</v>
      </c>
      <c r="K11" s="154" t="s">
        <v>985</v>
      </c>
      <c r="L11" s="154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</row>
    <row r="12">
      <c r="A12" s="179" t="s">
        <v>986</v>
      </c>
      <c r="B12" s="180" t="s">
        <v>987</v>
      </c>
      <c r="C12" s="186">
        <v>423.0</v>
      </c>
      <c r="D12" s="150" t="s">
        <v>670</v>
      </c>
      <c r="E12" s="187" t="s">
        <v>988</v>
      </c>
      <c r="F12" s="181">
        <v>8.9611536473E10</v>
      </c>
      <c r="G12" s="159" t="s">
        <v>989</v>
      </c>
      <c r="H12" s="180" t="s">
        <v>990</v>
      </c>
      <c r="I12" s="178" t="s">
        <v>991</v>
      </c>
      <c r="J12" s="191"/>
      <c r="K12" s="195" t="s">
        <v>992</v>
      </c>
      <c r="L12" s="154" t="s">
        <v>993</v>
      </c>
      <c r="M12" s="161" t="s">
        <v>994</v>
      </c>
      <c r="N12" s="196" t="s">
        <v>995</v>
      </c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</row>
    <row r="13">
      <c r="A13" s="177" t="s">
        <v>996</v>
      </c>
      <c r="B13" s="154"/>
      <c r="C13" s="151">
        <v>323.0</v>
      </c>
      <c r="D13" s="150" t="s">
        <v>997</v>
      </c>
      <c r="E13" s="154" t="s">
        <v>998</v>
      </c>
      <c r="F13" s="151">
        <v>8.985716101E10</v>
      </c>
      <c r="G13" s="178" t="s">
        <v>999</v>
      </c>
      <c r="H13" s="154" t="s">
        <v>1000</v>
      </c>
      <c r="I13" s="154" t="s">
        <v>1001</v>
      </c>
      <c r="J13" s="154" t="s">
        <v>1002</v>
      </c>
      <c r="K13" s="154" t="s">
        <v>1003</v>
      </c>
      <c r="L13" s="154"/>
      <c r="M13" s="194"/>
      <c r="N13" s="155" t="s">
        <v>1004</v>
      </c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</row>
    <row r="14">
      <c r="A14" s="149" t="s">
        <v>1005</v>
      </c>
      <c r="B14" s="150" t="s">
        <v>1006</v>
      </c>
      <c r="C14" s="197">
        <v>413.0</v>
      </c>
      <c r="D14" s="150" t="s">
        <v>1007</v>
      </c>
      <c r="E14" s="150" t="s">
        <v>1008</v>
      </c>
      <c r="F14" s="151">
        <v>8.961840739E10</v>
      </c>
      <c r="G14" s="178" t="s">
        <v>1009</v>
      </c>
      <c r="H14" s="154" t="s">
        <v>1010</v>
      </c>
      <c r="I14" s="198" t="s">
        <v>1011</v>
      </c>
      <c r="J14" s="150" t="s">
        <v>1012</v>
      </c>
      <c r="K14" s="154" t="s">
        <v>1013</v>
      </c>
      <c r="L14" s="154" t="s">
        <v>1014</v>
      </c>
      <c r="M14" s="161" t="s">
        <v>1015</v>
      </c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55"/>
    </row>
    <row r="15">
      <c r="A15" s="177" t="s">
        <v>1016</v>
      </c>
      <c r="B15" s="150" t="s">
        <v>1017</v>
      </c>
      <c r="C15" s="197">
        <v>307.0</v>
      </c>
      <c r="D15" s="150" t="s">
        <v>1018</v>
      </c>
      <c r="E15" s="150" t="s">
        <v>1019</v>
      </c>
      <c r="F15" s="151">
        <v>8.9154011771E10</v>
      </c>
      <c r="G15" s="178" t="s">
        <v>1020</v>
      </c>
      <c r="H15" s="154" t="s">
        <v>1021</v>
      </c>
      <c r="I15" s="154" t="s">
        <v>116</v>
      </c>
      <c r="J15" s="154" t="s">
        <v>1022</v>
      </c>
      <c r="K15" s="154" t="s">
        <v>1023</v>
      </c>
      <c r="L15" s="152" t="s">
        <v>1024</v>
      </c>
      <c r="M15" s="155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55"/>
    </row>
    <row r="16">
      <c r="A16" s="149" t="s">
        <v>1025</v>
      </c>
      <c r="B16" s="150" t="s">
        <v>1026</v>
      </c>
      <c r="C16" s="197" t="s">
        <v>1027</v>
      </c>
      <c r="D16" s="150" t="s">
        <v>1028</v>
      </c>
      <c r="E16" s="150" t="s">
        <v>1029</v>
      </c>
      <c r="F16" s="151">
        <v>8.9166123976E10</v>
      </c>
      <c r="G16" s="178" t="s">
        <v>1030</v>
      </c>
      <c r="H16" s="154" t="s">
        <v>1031</v>
      </c>
      <c r="I16" s="198" t="s">
        <v>1032</v>
      </c>
      <c r="J16" s="150" t="s">
        <v>1033</v>
      </c>
      <c r="K16" s="154" t="s">
        <v>1034</v>
      </c>
      <c r="L16" s="154" t="s">
        <v>1035</v>
      </c>
      <c r="M16" s="194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55"/>
    </row>
    <row r="17">
      <c r="A17" s="149" t="s">
        <v>1036</v>
      </c>
      <c r="B17" s="191"/>
      <c r="C17" s="191"/>
      <c r="D17" s="191"/>
      <c r="E17" s="154" t="s">
        <v>743</v>
      </c>
      <c r="F17" s="151">
        <v>8.985727268E10</v>
      </c>
      <c r="G17" s="178" t="s">
        <v>1037</v>
      </c>
      <c r="H17" s="154" t="s">
        <v>1038</v>
      </c>
      <c r="I17" s="191"/>
      <c r="J17" s="191"/>
      <c r="K17" s="191"/>
      <c r="L17" s="154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</row>
    <row r="18">
      <c r="A18" s="177" t="s">
        <v>1039</v>
      </c>
      <c r="B18" s="150" t="s">
        <v>1040</v>
      </c>
      <c r="C18" s="197">
        <v>417.0</v>
      </c>
      <c r="D18" s="150" t="s">
        <v>1041</v>
      </c>
      <c r="E18" s="191" t="s">
        <v>1029</v>
      </c>
      <c r="F18" s="197">
        <v>8.9284730084E10</v>
      </c>
      <c r="G18" s="198" t="s">
        <v>1042</v>
      </c>
      <c r="H18" s="150" t="s">
        <v>1043</v>
      </c>
      <c r="I18" s="191"/>
      <c r="J18" s="150" t="s">
        <v>1044</v>
      </c>
      <c r="K18" s="150" t="s">
        <v>1045</v>
      </c>
      <c r="L18" s="150" t="s">
        <v>1046</v>
      </c>
      <c r="M18" s="161" t="s">
        <v>1047</v>
      </c>
      <c r="N18" s="194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55"/>
    </row>
    <row r="19">
      <c r="A19" s="199" t="s">
        <v>1048</v>
      </c>
      <c r="B19" s="192" t="s">
        <v>1049</v>
      </c>
      <c r="C19" s="186">
        <v>218.0</v>
      </c>
      <c r="D19" s="187" t="s">
        <v>1050</v>
      </c>
      <c r="E19" s="191" t="s">
        <v>1029</v>
      </c>
      <c r="F19" s="186">
        <v>8.9165087291E10</v>
      </c>
      <c r="G19" s="193" t="s">
        <v>1051</v>
      </c>
      <c r="H19" s="187" t="s">
        <v>1052</v>
      </c>
      <c r="I19" s="191"/>
      <c r="J19" s="191"/>
      <c r="K19" s="200" t="s">
        <v>1053</v>
      </c>
      <c r="L19" s="150" t="s">
        <v>1054</v>
      </c>
      <c r="M19" s="161" t="s">
        <v>1055</v>
      </c>
      <c r="N19" s="194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</row>
    <row r="20">
      <c r="A20" s="177" t="s">
        <v>1056</v>
      </c>
      <c r="B20" s="154"/>
      <c r="C20" s="151" t="s">
        <v>441</v>
      </c>
      <c r="D20" s="150" t="s">
        <v>1057</v>
      </c>
      <c r="E20" s="154" t="s">
        <v>745</v>
      </c>
      <c r="F20" s="151">
        <v>8.9772958007E10</v>
      </c>
      <c r="G20" s="178" t="s">
        <v>1058</v>
      </c>
      <c r="H20" s="154" t="s">
        <v>1059</v>
      </c>
      <c r="I20" s="150" t="s">
        <v>116</v>
      </c>
      <c r="J20" s="154" t="s">
        <v>1060</v>
      </c>
      <c r="K20" s="154" t="s">
        <v>1061</v>
      </c>
      <c r="L20" s="154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</row>
    <row r="21">
      <c r="A21" s="177" t="s">
        <v>1062</v>
      </c>
      <c r="B21" s="154"/>
      <c r="C21" s="151">
        <v>207.0</v>
      </c>
      <c r="D21" s="150" t="s">
        <v>1063</v>
      </c>
      <c r="E21" s="154" t="s">
        <v>1064</v>
      </c>
      <c r="F21" s="201">
        <v>8.9775543257E10</v>
      </c>
      <c r="G21" s="178" t="s">
        <v>1065</v>
      </c>
      <c r="H21" s="154" t="s">
        <v>1066</v>
      </c>
      <c r="I21" s="191"/>
      <c r="J21" s="191"/>
      <c r="K21" s="191"/>
      <c r="L21" s="154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</row>
    <row r="22">
      <c r="A22" s="179" t="s">
        <v>1067</v>
      </c>
      <c r="B22" s="187" t="s">
        <v>1068</v>
      </c>
      <c r="C22" s="181">
        <v>241.0</v>
      </c>
      <c r="D22" s="202" t="s">
        <v>50</v>
      </c>
      <c r="E22" s="187" t="s">
        <v>1069</v>
      </c>
      <c r="F22" s="181">
        <v>9.304000795E9</v>
      </c>
      <c r="G22" s="189" t="s">
        <v>1070</v>
      </c>
      <c r="H22" s="180" t="s">
        <v>1071</v>
      </c>
      <c r="I22" s="150"/>
      <c r="J22" s="150"/>
      <c r="K22" s="191"/>
      <c r="L22" s="191"/>
      <c r="M22" s="194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</row>
    <row r="23">
      <c r="A23" s="177" t="s">
        <v>1072</v>
      </c>
      <c r="B23" s="187" t="s">
        <v>1073</v>
      </c>
      <c r="C23" s="186">
        <v>110.0</v>
      </c>
      <c r="D23" s="191"/>
      <c r="E23" s="191" t="s">
        <v>1029</v>
      </c>
      <c r="F23" s="186">
        <v>8.9178604094E10</v>
      </c>
      <c r="G23" s="190" t="s">
        <v>1074</v>
      </c>
      <c r="H23" s="187" t="s">
        <v>1075</v>
      </c>
      <c r="I23" s="191"/>
      <c r="J23" s="191"/>
      <c r="K23" s="191"/>
      <c r="L23" s="191"/>
      <c r="M23" s="194"/>
      <c r="N23" s="194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</row>
    <row r="24">
      <c r="A24" s="177" t="s">
        <v>1076</v>
      </c>
      <c r="B24" s="154"/>
      <c r="C24" s="151">
        <v>202.0</v>
      </c>
      <c r="D24" s="150" t="s">
        <v>1077</v>
      </c>
      <c r="E24" s="154" t="s">
        <v>744</v>
      </c>
      <c r="F24" s="203">
        <v>8.9827191573E10</v>
      </c>
      <c r="G24" s="178" t="s">
        <v>1078</v>
      </c>
      <c r="H24" s="154" t="s">
        <v>1079</v>
      </c>
      <c r="I24" s="191"/>
      <c r="J24" s="154" t="s">
        <v>1080</v>
      </c>
      <c r="K24" s="154" t="s">
        <v>1081</v>
      </c>
      <c r="L24" s="154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</row>
    <row r="25">
      <c r="A25" s="204" t="s">
        <v>1082</v>
      </c>
      <c r="B25" s="150" t="s">
        <v>1083</v>
      </c>
      <c r="C25" s="197">
        <v>211.0</v>
      </c>
      <c r="D25" s="150" t="s">
        <v>1084</v>
      </c>
      <c r="E25" s="150" t="s">
        <v>1085</v>
      </c>
      <c r="F25" s="197">
        <v>79154003930</v>
      </c>
      <c r="G25" s="205" t="s">
        <v>1086</v>
      </c>
      <c r="H25" s="150" t="s">
        <v>1087</v>
      </c>
      <c r="I25" s="191"/>
      <c r="J25" s="191"/>
      <c r="K25" s="150" t="s">
        <v>1088</v>
      </c>
      <c r="L25" s="150" t="s">
        <v>1089</v>
      </c>
      <c r="M25" s="161" t="s">
        <v>1090</v>
      </c>
      <c r="N25" s="161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</row>
    <row r="26">
      <c r="A26" s="179" t="s">
        <v>1091</v>
      </c>
      <c r="B26" s="150" t="s">
        <v>1092</v>
      </c>
      <c r="C26" s="197">
        <v>320.0</v>
      </c>
      <c r="D26" s="150" t="s">
        <v>1093</v>
      </c>
      <c r="E26" s="150" t="s">
        <v>1094</v>
      </c>
      <c r="F26" s="186">
        <v>8.9527051937E10</v>
      </c>
      <c r="G26" s="205" t="s">
        <v>1095</v>
      </c>
      <c r="H26" s="150" t="s">
        <v>1096</v>
      </c>
      <c r="I26" s="150"/>
      <c r="J26" s="150"/>
      <c r="K26" s="150" t="s">
        <v>1097</v>
      </c>
      <c r="L26" s="191" t="s">
        <v>1098</v>
      </c>
      <c r="M26" s="161" t="s">
        <v>1099</v>
      </c>
      <c r="N26" s="161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</row>
    <row r="27">
      <c r="A27" s="206" t="s">
        <v>1100</v>
      </c>
      <c r="B27" s="152" t="s">
        <v>1101</v>
      </c>
      <c r="C27" s="197">
        <v>530.0</v>
      </c>
      <c r="D27" s="150" t="s">
        <v>1102</v>
      </c>
      <c r="E27" s="150" t="s">
        <v>1029</v>
      </c>
      <c r="F27" s="203">
        <v>8.9177402784E10</v>
      </c>
      <c r="G27" s="178" t="s">
        <v>1103</v>
      </c>
      <c r="H27" s="207" t="s">
        <v>1104</v>
      </c>
      <c r="I27" s="154"/>
      <c r="J27" s="208" t="s">
        <v>1105</v>
      </c>
      <c r="K27" s="150" t="s">
        <v>1106</v>
      </c>
      <c r="L27" s="208" t="s">
        <v>1105</v>
      </c>
      <c r="M27" s="161" t="s">
        <v>1107</v>
      </c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</row>
    <row r="28">
      <c r="A28" s="179" t="s">
        <v>1108</v>
      </c>
      <c r="B28" s="152" t="s">
        <v>1109</v>
      </c>
      <c r="C28" s="181">
        <v>215.0</v>
      </c>
      <c r="D28" s="180" t="s">
        <v>1110</v>
      </c>
      <c r="E28" s="187" t="s">
        <v>915</v>
      </c>
      <c r="F28" s="181">
        <v>7.9527442494E10</v>
      </c>
      <c r="G28" s="159" t="s">
        <v>1111</v>
      </c>
      <c r="H28" s="180" t="s">
        <v>1112</v>
      </c>
      <c r="I28" s="150"/>
      <c r="J28" s="150"/>
      <c r="K28" s="154" t="s">
        <v>1113</v>
      </c>
      <c r="L28" s="208" t="s">
        <v>1113</v>
      </c>
      <c r="M28" s="194"/>
      <c r="N28" s="161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</row>
    <row r="29">
      <c r="A29" s="206" t="s">
        <v>1114</v>
      </c>
      <c r="B29" s="209" t="s">
        <v>1115</v>
      </c>
      <c r="C29" s="210">
        <v>533.0</v>
      </c>
      <c r="D29" s="211" t="s">
        <v>1116</v>
      </c>
      <c r="E29" s="211" t="s">
        <v>1117</v>
      </c>
      <c r="F29" s="212">
        <v>8.9775783571E10</v>
      </c>
      <c r="G29" s="213" t="s">
        <v>1118</v>
      </c>
      <c r="H29" s="214" t="s">
        <v>1119</v>
      </c>
      <c r="I29" s="215" t="s">
        <v>1120</v>
      </c>
      <c r="J29" s="216" t="s">
        <v>1121</v>
      </c>
      <c r="K29" s="217" t="s">
        <v>1121</v>
      </c>
      <c r="L29" s="208" t="s">
        <v>1122</v>
      </c>
      <c r="M29" s="161" t="s">
        <v>1123</v>
      </c>
      <c r="N29" s="196" t="s">
        <v>1124</v>
      </c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</row>
    <row r="30">
      <c r="A30" s="218" t="s">
        <v>1125</v>
      </c>
      <c r="B30" s="152" t="s">
        <v>1126</v>
      </c>
      <c r="C30" s="197">
        <v>417.0</v>
      </c>
      <c r="D30" s="150" t="s">
        <v>1127</v>
      </c>
      <c r="E30" s="150" t="s">
        <v>1128</v>
      </c>
      <c r="F30" s="219">
        <v>8.9256485825E11</v>
      </c>
      <c r="G30" s="178" t="s">
        <v>1129</v>
      </c>
      <c r="H30" s="207" t="s">
        <v>1130</v>
      </c>
      <c r="I30" s="154" t="s">
        <v>1131</v>
      </c>
      <c r="J30" s="154" t="s">
        <v>1132</v>
      </c>
      <c r="K30" s="208" t="s">
        <v>1131</v>
      </c>
      <c r="L30" s="191"/>
      <c r="M30" s="155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55"/>
    </row>
    <row r="31">
      <c r="A31" s="179" t="s">
        <v>1133</v>
      </c>
      <c r="B31" s="180" t="s">
        <v>1134</v>
      </c>
      <c r="C31" s="181">
        <v>412.0</v>
      </c>
      <c r="D31" s="154" t="s">
        <v>1135</v>
      </c>
      <c r="E31" s="187" t="s">
        <v>1136</v>
      </c>
      <c r="F31" s="181">
        <v>8.9174501477E10</v>
      </c>
      <c r="G31" s="159" t="s">
        <v>1137</v>
      </c>
      <c r="H31" s="180" t="s">
        <v>1138</v>
      </c>
      <c r="I31" s="178" t="s">
        <v>1139</v>
      </c>
      <c r="J31" s="191"/>
      <c r="K31" s="150" t="s">
        <v>1140</v>
      </c>
      <c r="L31" s="150" t="s">
        <v>1141</v>
      </c>
      <c r="M31" s="155" t="s">
        <v>1142</v>
      </c>
      <c r="N31" s="196" t="s">
        <v>1143</v>
      </c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</row>
    <row r="32">
      <c r="A32" s="149" t="s">
        <v>1144</v>
      </c>
      <c r="B32" s="180" t="s">
        <v>1145</v>
      </c>
      <c r="C32" s="151">
        <v>314.0</v>
      </c>
      <c r="D32" s="154" t="s">
        <v>1146</v>
      </c>
      <c r="E32" s="154" t="s">
        <v>1147</v>
      </c>
      <c r="F32" s="151">
        <v>8.9177246402E10</v>
      </c>
      <c r="G32" s="153" t="s">
        <v>1148</v>
      </c>
      <c r="H32" s="220" t="s">
        <v>1149</v>
      </c>
      <c r="I32" s="154"/>
      <c r="J32" s="154"/>
      <c r="K32" s="154" t="s">
        <v>1150</v>
      </c>
      <c r="L32" s="154" t="s">
        <v>1151</v>
      </c>
      <c r="M32" s="221"/>
      <c r="N32" s="161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</row>
    <row r="33">
      <c r="A33" s="185" t="s">
        <v>1152</v>
      </c>
      <c r="B33" s="187" t="s">
        <v>1152</v>
      </c>
      <c r="C33" s="191"/>
      <c r="D33" s="191"/>
      <c r="E33" s="187" t="s">
        <v>1153</v>
      </c>
      <c r="F33" s="191"/>
      <c r="G33" s="191"/>
      <c r="H33" s="191"/>
      <c r="I33" s="191"/>
      <c r="J33" s="191"/>
      <c r="K33" s="191"/>
      <c r="L33" s="191"/>
      <c r="M33" s="155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55"/>
    </row>
    <row r="34">
      <c r="A34" s="179" t="s">
        <v>1154</v>
      </c>
      <c r="B34" s="180" t="s">
        <v>1152</v>
      </c>
      <c r="C34" s="181">
        <v>109.0</v>
      </c>
      <c r="D34" s="154"/>
      <c r="E34" s="180" t="s">
        <v>1155</v>
      </c>
      <c r="F34" s="180" t="s">
        <v>1156</v>
      </c>
      <c r="G34" s="189" t="s">
        <v>1157</v>
      </c>
      <c r="H34" s="180" t="s">
        <v>1158</v>
      </c>
      <c r="I34" s="154"/>
      <c r="J34" s="154"/>
      <c r="K34" s="154"/>
      <c r="L34" s="154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</row>
    <row r="35">
      <c r="A35" s="177" t="s">
        <v>1159</v>
      </c>
      <c r="B35" s="222"/>
      <c r="C35" s="223">
        <v>420.0</v>
      </c>
      <c r="D35" s="150" t="s">
        <v>670</v>
      </c>
      <c r="E35" s="224" t="s">
        <v>1160</v>
      </c>
      <c r="F35" s="151">
        <v>8.9188271367E10</v>
      </c>
      <c r="G35" s="178" t="s">
        <v>1161</v>
      </c>
      <c r="H35" s="154" t="s">
        <v>1162</v>
      </c>
      <c r="I35" s="208" t="s">
        <v>1163</v>
      </c>
      <c r="J35" s="154" t="s">
        <v>1163</v>
      </c>
      <c r="K35" s="154" t="s">
        <v>1163</v>
      </c>
      <c r="L35" s="154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</row>
    <row r="36">
      <c r="A36" s="177" t="s">
        <v>1164</v>
      </c>
      <c r="B36" s="154"/>
      <c r="C36" s="151">
        <v>104.0</v>
      </c>
      <c r="D36" s="154" t="s">
        <v>1165</v>
      </c>
      <c r="E36" s="154" t="s">
        <v>1166</v>
      </c>
      <c r="F36" s="151">
        <v>8.9998876529E10</v>
      </c>
      <c r="G36" s="178" t="s">
        <v>1167</v>
      </c>
      <c r="H36" s="154" t="s">
        <v>1168</v>
      </c>
      <c r="I36" s="191"/>
      <c r="J36" s="191"/>
      <c r="K36" s="154" t="s">
        <v>1169</v>
      </c>
      <c r="L36" s="154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</row>
    <row r="37">
      <c r="A37" s="149" t="s">
        <v>1170</v>
      </c>
      <c r="B37" s="150" t="s">
        <v>1171</v>
      </c>
      <c r="C37" s="197">
        <v>628.0</v>
      </c>
      <c r="D37" s="150" t="s">
        <v>1172</v>
      </c>
      <c r="E37" s="150" t="s">
        <v>1153</v>
      </c>
      <c r="F37" s="151">
        <v>8.925541949E10</v>
      </c>
      <c r="G37" s="178" t="s">
        <v>1173</v>
      </c>
      <c r="H37" s="154" t="s">
        <v>1174</v>
      </c>
      <c r="I37" s="225" t="s">
        <v>1175</v>
      </c>
      <c r="J37" s="226" t="s">
        <v>1176</v>
      </c>
      <c r="K37" s="154" t="s">
        <v>1177</v>
      </c>
      <c r="L37" s="154" t="s">
        <v>1178</v>
      </c>
      <c r="M37" s="161" t="s">
        <v>1179</v>
      </c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</row>
    <row r="38">
      <c r="A38" s="227" t="s">
        <v>1180</v>
      </c>
      <c r="B38" s="150" t="s">
        <v>1181</v>
      </c>
      <c r="C38" s="228">
        <v>114.0</v>
      </c>
      <c r="D38" s="191"/>
      <c r="E38" s="150" t="s">
        <v>1155</v>
      </c>
      <c r="F38" s="229">
        <v>8.9053201333E10</v>
      </c>
      <c r="G38" s="193" t="s">
        <v>1182</v>
      </c>
      <c r="H38" s="230" t="s">
        <v>1183</v>
      </c>
      <c r="I38" s="191"/>
      <c r="J38" s="191"/>
      <c r="K38" s="191"/>
      <c r="L38" s="191"/>
      <c r="M38" s="194"/>
      <c r="N38" s="196" t="s">
        <v>1184</v>
      </c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</row>
    <row r="39">
      <c r="A39" s="185" t="s">
        <v>1185</v>
      </c>
      <c r="B39" s="180" t="s">
        <v>1186</v>
      </c>
      <c r="C39" s="186">
        <v>112.0</v>
      </c>
      <c r="D39" s="231" t="s">
        <v>50</v>
      </c>
      <c r="E39" s="150" t="s">
        <v>1029</v>
      </c>
      <c r="F39" s="188">
        <v>8.92319164E10</v>
      </c>
      <c r="G39" s="189" t="s">
        <v>1187</v>
      </c>
      <c r="H39" s="180" t="s">
        <v>1188</v>
      </c>
      <c r="I39" s="154"/>
      <c r="J39" s="191"/>
      <c r="K39" s="191"/>
      <c r="L39" s="191"/>
      <c r="M39" s="194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55"/>
    </row>
    <row r="40">
      <c r="A40" s="185" t="s">
        <v>1189</v>
      </c>
      <c r="B40" s="187" t="s">
        <v>1190</v>
      </c>
      <c r="C40" s="186">
        <v>316.0</v>
      </c>
      <c r="D40" s="150" t="s">
        <v>1191</v>
      </c>
      <c r="E40" s="191" t="s">
        <v>1029</v>
      </c>
      <c r="F40" s="186" t="s">
        <v>1192</v>
      </c>
      <c r="G40" s="190" t="s">
        <v>1193</v>
      </c>
      <c r="H40" s="187" t="s">
        <v>1194</v>
      </c>
      <c r="I40" s="191"/>
      <c r="J40" s="191"/>
      <c r="K40" s="150" t="s">
        <v>1195</v>
      </c>
      <c r="L40" s="191"/>
      <c r="M40" s="161" t="s">
        <v>1196</v>
      </c>
      <c r="N40" s="194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55"/>
    </row>
    <row r="41">
      <c r="A41" s="232" t="s">
        <v>1197</v>
      </c>
      <c r="B41" s="163" t="str">
        <f>LEFT(A41,FIND(CHAR(160),SUBSTITUTE(A41," ",CHAR(160),2)) - 1)</f>
        <v>Бондаренко Анна</v>
      </c>
      <c r="C41" s="233">
        <v>533.0</v>
      </c>
      <c r="D41" s="163" t="s">
        <v>1198</v>
      </c>
      <c r="E41" s="163" t="str">
        <f t="array" ref="E41">IF(ISERROR(MATCH(1,INDEX(('Списки блоков'!$B$2:$B1010=B41)*(ROW('Списки блоков'!$B$2:$B1010)&lt;&gt;ROW('Списки блоков'!$B$3)),0),0)),"","БДНС,")
&amp;IF(ISERROR(MATCH(1,INDEX(('Списки блоков'!$C$2:$C1010=B41)*(ROW('Списки блоков'!$C$2:$C1010)&lt;&gt;ROW('Списки блоков'!$C$3)),0),0)),"","Видеолаба,")
&amp;IF(ISERROR(MATCH(1,INDEX(('Списки блоков'!$D$2:$D1010=B41)*(ROW('Списки блоков'!$D$2:$D1010)&lt;&gt;ROW('Списки блоков'!$D$3)),0),0)),"","Декораторы,")
&amp;IF(ISERROR(MATCH(1,INDEX(('Списки блоков'!$E$2:$E1010=B41)*(ROW('Списки блоков'!$E$2:$E1010)&lt;&gt;ROW('Списки блоков'!$E$3)),0),0)),"","Дизайн,")
&amp;IF(ISERROR(MATCH(1,INDEX(('Списки блоков'!$F$2:$F1010=B41)*(ROW('Списки блоков'!$F$2:$F1010)&lt;&gt;ROW('Списки блоков'!$F$3)),0),0)),"","Досуг,")
&amp;IF(ISERROR(MATCH(1,INDEX(('Списки блоков'!$G$2:$G1010=B41)*(ROW('Списки блоков'!$G$2:$G1010)&lt;&gt;ROW('Списки блоков'!$G$3)),0),0)),"","Закупки,")
&amp;IF(ISERROR(MATCH(1,INDEX(('Списки блоков'!$H$2:$H1010=B41)*(ROW('Списки блоков'!$H$2:$H1010)&lt;&gt;ROW('Списки блоков'!$H$3)),0),0)),"","ИнфоБлок,")
&amp;IF(ISERROR(MATCH(1,INDEX(('Списки блоков'!$I$2:$I1010=B41)*(ROW('Списки блоков'!$I$2:$I1010)&lt;&gt;ROW('Списки блоков'!$I$3)),0),0)),"","КГ,")
&amp;IF(ISERROR(MATCH(1,INDEX(('Списки блоков'!$J$2:$J1010=B41)*(ROW('Списки блоков'!$J$2:$J1010)&lt;&gt;ROW('Списки блоков'!$J$3)),0),0)),"","МП,")
&amp;IF(ISERROR(MATCH(1,INDEX(('Списки блоков'!$K$2:$K1010=B41)*(ROW('Списки блоков'!$K$2:$K1010)&lt;&gt;ROW('Списки блоков'!$K$3)),0),0)),"","Профорги,")
&amp;IF(ISERROR(MATCH(1,INDEX(('Списки блоков'!$L$2:$L1010=B41)*(ROW('Списки блоков'!$L$2:$L1010)&lt;&gt;ROW('Списки блоков'!$L$3)),0),0)),"","Спонсоры,")
&amp;IF(ISERROR(MATCH(1,INDEX(('Списки блоков'!$M$2:$M1010=B41)*(ROW('Списки блоков'!$M$2:$M1010)&lt;&gt;ROW('Списки блоков'!$M$3)),0),0)),"","Склад,")
&amp;IF(ISERROR(MATCH(1,INDEX(('Списки блоков'!$N$2:$N1010=B41)*(ROW('Списки блоков'!$N$2:$N1010)&lt;&gt;ROW('Списки блоков'!$N$3)),0),0)),"","Сценаристы,")
&amp;IF(ISERROR(MATCH(1,INDEX(('Списки блоков'!$O$2:$O1010=B41)*(ROW('Списки блоков'!$O$2:$O1010)&lt;&gt;ROW('Списки блоков'!$O$3)),0),0)),"","Техники,")
&amp;IF(ISERROR(MATCH(1,INDEX(('Списки блоков'!$P$2:$P1010=B41)*(ROW('Списки блоков'!$P$2:$P1010)&lt;&gt;ROW('Списки блоков'!$P$3)),0),0)),"","УРС,")
&amp;IF(ISERROR(MATCH(1,INDEX(('Списки блоков'!$Q$2:$Q1010=B41)*(ROW('Списки блоков'!$Q$2:$Q1010)&lt;&gt;ROW('Списки блоков'!$Q$3)),0),0)),"","Фото,")
&amp;IF(ISERROR(MATCH(1,INDEX((#REF!=B41)*(ROW(#REF!)&lt;&gt;ROW(#REF!)),0),0)),"","ЭкоБлок,")
&amp;IF(ISERROR(MATCH(1,INDEX(('Списки блоков'!$R$2:$R1010=B41)*(ROW('Списки блоков'!$R$2:$R1010)&lt;&gt;ROW('Списки блоков'!$R$3)),0),0)),"","HR,")
&amp;IF(ISERROR(MATCH(1,INDEX(('Списки блоков'!$S$2:$S1010=B41)*(ROW('Списки блоков'!$S$2:$S1010)&lt;&gt;ROW('Списки блоков'!$S$3)),0),0)),"","Instagram,")
&amp;IF(ISERROR(MATCH(1,INDEX(('Списки блоков'!$T$2:$T1010=B41)*(ROW('Списки блоков'!$T$2:$T1010)&lt;&gt;ROW('Списки блоков'!$T$3)),0),0)),"","Zachёt,")
&amp;IF(ISERROR(MATCH(1,INDEX(('Списки блоков'!$U$2:$U1010=B41)*(ROW('Списки блоков'!$U$2:$U1010)&lt;&gt;ROW('Списки блоков'!$U$3)),0),0)),"","IT,")
&amp;IF(ISERROR(MATCH(1,INDEX(('Списки блоков'!$V$2:$V1010=B41)*(ROW('Списки блоков'!$V$2:$V1010)&lt;&gt;ROW('Списки блоков'!$V$3)),0),0)),"","ДК,")
</f>
        <v/>
      </c>
      <c r="F41" s="234">
        <v>8.9067813583E10</v>
      </c>
      <c r="G41" s="235" t="s">
        <v>1199</v>
      </c>
      <c r="H41" s="163" t="s">
        <v>1200</v>
      </c>
      <c r="I41" s="163" t="s">
        <v>1201</v>
      </c>
      <c r="J41" s="232" t="s">
        <v>22</v>
      </c>
      <c r="K41" s="168"/>
      <c r="L41" s="168"/>
      <c r="AA41" s="155"/>
      <c r="AB41" s="155"/>
      <c r="AC41" s="155"/>
      <c r="AD41" s="155"/>
      <c r="AE41" s="155"/>
    </row>
    <row r="42">
      <c r="A42" s="236" t="s">
        <v>1202</v>
      </c>
      <c r="B42" s="152" t="s">
        <v>1203</v>
      </c>
      <c r="C42" s="151">
        <v>412.0</v>
      </c>
      <c r="D42" s="150" t="s">
        <v>1204</v>
      </c>
      <c r="E42" s="154" t="s">
        <v>1205</v>
      </c>
      <c r="F42" s="237">
        <v>8.9857962E10</v>
      </c>
      <c r="G42" s="178" t="s">
        <v>1206</v>
      </c>
      <c r="H42" s="238" t="s">
        <v>1207</v>
      </c>
      <c r="I42" s="208" t="s">
        <v>1208</v>
      </c>
      <c r="J42" s="226" t="s">
        <v>1208</v>
      </c>
      <c r="K42" s="208" t="s">
        <v>1208</v>
      </c>
      <c r="L42" s="154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</row>
    <row r="43">
      <c r="A43" s="177" t="s">
        <v>1209</v>
      </c>
      <c r="B43" s="154" t="s">
        <v>1210</v>
      </c>
      <c r="C43" s="197">
        <v>217.0</v>
      </c>
      <c r="D43" s="150" t="s">
        <v>1211</v>
      </c>
      <c r="E43" s="150" t="s">
        <v>1212</v>
      </c>
      <c r="F43" s="151">
        <v>8.9875502524E10</v>
      </c>
      <c r="G43" s="178" t="s">
        <v>1213</v>
      </c>
      <c r="H43" s="154" t="s">
        <v>1214</v>
      </c>
      <c r="I43" s="150" t="s">
        <v>116</v>
      </c>
      <c r="J43" s="154" t="s">
        <v>1215</v>
      </c>
      <c r="K43" s="150" t="s">
        <v>116</v>
      </c>
      <c r="L43" s="191"/>
      <c r="M43" s="155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55"/>
    </row>
    <row r="44">
      <c r="A44" s="206" t="s">
        <v>1216</v>
      </c>
      <c r="B44" s="180" t="str">
        <f>LEFT(A44,FIND(CHAR(160),SUBSTITUTE(A44," ",CHAR(160),2)) - 1)</f>
        <v>Бочкарев Роберт</v>
      </c>
      <c r="C44" s="150"/>
      <c r="D44" s="154"/>
      <c r="E44" s="154" t="s">
        <v>1217</v>
      </c>
      <c r="F44" s="154"/>
      <c r="G44" s="154"/>
      <c r="H44" s="154"/>
      <c r="I44" s="154"/>
      <c r="J44" s="154"/>
      <c r="K44" s="154"/>
      <c r="L44" s="154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</row>
    <row r="45">
      <c r="A45" s="156" t="s">
        <v>1218</v>
      </c>
      <c r="B45" s="154" t="s">
        <v>1219</v>
      </c>
      <c r="C45" s="158">
        <v>108.0</v>
      </c>
      <c r="D45" s="154"/>
      <c r="E45" s="154" t="s">
        <v>1029</v>
      </c>
      <c r="F45" s="160" t="s">
        <v>1220</v>
      </c>
      <c r="G45" s="159" t="s">
        <v>1221</v>
      </c>
      <c r="H45" s="160" t="s">
        <v>1222</v>
      </c>
      <c r="I45" s="154"/>
      <c r="J45" s="154"/>
      <c r="K45" s="154"/>
      <c r="L45" s="154"/>
      <c r="M45" s="161"/>
      <c r="N45" s="161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</row>
    <row r="46">
      <c r="A46" s="177" t="s">
        <v>1223</v>
      </c>
      <c r="B46" s="187" t="s">
        <v>1224</v>
      </c>
      <c r="C46" s="186">
        <v>311.0</v>
      </c>
      <c r="D46" s="187" t="s">
        <v>1225</v>
      </c>
      <c r="E46" s="187" t="s">
        <v>1153</v>
      </c>
      <c r="F46" s="186">
        <v>8.9154803224E10</v>
      </c>
      <c r="G46" s="193" t="s">
        <v>1226</v>
      </c>
      <c r="H46" s="187" t="s">
        <v>1227</v>
      </c>
      <c r="I46" s="191"/>
      <c r="J46" s="191"/>
      <c r="K46" s="150" t="s">
        <v>1228</v>
      </c>
      <c r="L46" s="150" t="s">
        <v>116</v>
      </c>
      <c r="M46" s="161" t="s">
        <v>1229</v>
      </c>
      <c r="N46" s="196" t="s">
        <v>1230</v>
      </c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</row>
    <row r="47">
      <c r="A47" s="179" t="s">
        <v>1231</v>
      </c>
      <c r="B47" s="150" t="s">
        <v>1232</v>
      </c>
      <c r="C47" s="181">
        <v>316.0</v>
      </c>
      <c r="D47" s="180" t="s">
        <v>1233</v>
      </c>
      <c r="E47" s="150" t="s">
        <v>1029</v>
      </c>
      <c r="F47" s="181" t="s">
        <v>1234</v>
      </c>
      <c r="G47" s="239" t="s">
        <v>1235</v>
      </c>
      <c r="H47" s="180" t="s">
        <v>1236</v>
      </c>
      <c r="I47" s="150"/>
      <c r="J47" s="150"/>
      <c r="K47" s="154" t="s">
        <v>1237</v>
      </c>
      <c r="L47" s="191"/>
      <c r="M47" s="240" t="s">
        <v>1238</v>
      </c>
      <c r="N47" s="161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</row>
    <row r="48">
      <c r="A48" s="241" t="s">
        <v>1239</v>
      </c>
      <c r="B48" s="163" t="str">
        <f>LEFT(A48,FIND(CHAR(160),SUBSTITUTE(A48," ",CHAR(160),2)) - 1)</f>
        <v>Булыничев Юрий</v>
      </c>
      <c r="C48" s="233">
        <v>108.0</v>
      </c>
      <c r="D48" s="163" t="s">
        <v>50</v>
      </c>
      <c r="E48" s="163" t="str">
        <f t="array" ref="E48">IF(ISERROR(MATCH(1,INDEX(('Списки блоков'!$B$2:$B1010=B48)*(ROW('Списки блоков'!$B$2:$B1010)&lt;&gt;ROW('Списки блоков'!$B$3)),0),0)),"","БДНС,")
&amp;IF(ISERROR(MATCH(1,INDEX(('Списки блоков'!$C$2:$C1010=B48)*(ROW('Списки блоков'!$C$2:$C1010)&lt;&gt;ROW('Списки блоков'!$C$3)),0),0)),"","Видеолаба,")
&amp;IF(ISERROR(MATCH(1,INDEX(('Списки блоков'!$D$2:$D1010=B48)*(ROW('Списки блоков'!$D$2:$D1010)&lt;&gt;ROW('Списки блоков'!$D$3)),0),0)),"","Декораторы,")
&amp;IF(ISERROR(MATCH(1,INDEX(('Списки блоков'!$E$2:$E1010=B48)*(ROW('Списки блоков'!$E$2:$E1010)&lt;&gt;ROW('Списки блоков'!$E$3)),0),0)),"","Дизайн,")
&amp;IF(ISERROR(MATCH(1,INDEX(('Списки блоков'!$F$2:$F1010=B48)*(ROW('Списки блоков'!$F$2:$F1010)&lt;&gt;ROW('Списки блоков'!$F$3)),0),0)),"","Досуг,")
&amp;IF(ISERROR(MATCH(1,INDEX(('Списки блоков'!$G$2:$G1010=B48)*(ROW('Списки блоков'!$G$2:$G1010)&lt;&gt;ROW('Списки блоков'!$G$3)),0),0)),"","Закупки,")
&amp;IF(ISERROR(MATCH(1,INDEX(('Списки блоков'!$H$2:$H1010=B48)*(ROW('Списки блоков'!$H$2:$H1010)&lt;&gt;ROW('Списки блоков'!$H$3)),0),0)),"","ИнфоБлок,")
&amp;IF(ISERROR(MATCH(1,INDEX(('Списки блоков'!$I$2:$I1010=B48)*(ROW('Списки блоков'!$I$2:$I1010)&lt;&gt;ROW('Списки блоков'!$I$3)),0),0)),"","КГ,")
&amp;IF(ISERROR(MATCH(1,INDEX(('Списки блоков'!$J$2:$J1010=B48)*(ROW('Списки блоков'!$J$2:$J1010)&lt;&gt;ROW('Списки блоков'!$J$3)),0),0)),"","МП,")
&amp;IF(ISERROR(MATCH(1,INDEX(('Списки блоков'!$K$2:$K1010=B48)*(ROW('Списки блоков'!$K$2:$K1010)&lt;&gt;ROW('Списки блоков'!$K$3)),0),0)),"","Профорги,")
&amp;IF(ISERROR(MATCH(1,INDEX(('Списки блоков'!$L$2:$L1010=B48)*(ROW('Списки блоков'!$L$2:$L1010)&lt;&gt;ROW('Списки блоков'!$L$3)),0),0)),"","Спонсоры,")
&amp;IF(ISERROR(MATCH(1,INDEX(('Списки блоков'!$M$2:$M1010=B48)*(ROW('Списки блоков'!$M$2:$M1010)&lt;&gt;ROW('Списки блоков'!$M$3)),0),0)),"","Склад,")
&amp;IF(ISERROR(MATCH(1,INDEX(('Списки блоков'!$N$2:$N1010=B48)*(ROW('Списки блоков'!$N$2:$N1010)&lt;&gt;ROW('Списки блоков'!$N$3)),0),0)),"","Сценаристы,")
&amp;IF(ISERROR(MATCH(1,INDEX(('Списки блоков'!$O$2:$O1010=B48)*(ROW('Списки блоков'!$O$2:$O1010)&lt;&gt;ROW('Списки блоков'!$O$3)),0),0)),"","Техники,")
&amp;IF(ISERROR(MATCH(1,INDEX(('Списки блоков'!$P$2:$P1010=B48)*(ROW('Списки блоков'!$P$2:$P1010)&lt;&gt;ROW('Списки блоков'!$P$3)),0),0)),"","УРС,")
&amp;IF(ISERROR(MATCH(1,INDEX(('Списки блоков'!$Q$2:$Q1010=B48)*(ROW('Списки блоков'!$Q$2:$Q1010)&lt;&gt;ROW('Списки блоков'!$Q$3)),0),0)),"","Фото,")
&amp;IF(ISERROR(MATCH(1,INDEX((#REF!=B48)*(ROW(#REF!)&lt;&gt;ROW(#REF!)),0),0)),"","ЭкоБлок,")
&amp;IF(ISERROR(MATCH(1,INDEX(('Списки блоков'!$R$2:$R1010=B48)*(ROW('Списки блоков'!$R$2:$R1010)&lt;&gt;ROW('Списки блоков'!$R$3)),0),0)),"","HR,")
&amp;IF(ISERROR(MATCH(1,INDEX(('Списки блоков'!$S$2:$S1010=B48)*(ROW('Списки блоков'!$S$2:$S1010)&lt;&gt;ROW('Списки блоков'!$S$3)),0),0)),"","Instagram,")
&amp;IF(ISERROR(MATCH(1,INDEX(('Списки блоков'!$T$2:$T1010=B48)*(ROW('Списки блоков'!$T$2:$T1010)&lt;&gt;ROW('Списки блоков'!$T$3)),0),0)),"","Zachёt,")
&amp;IF(ISERROR(MATCH(1,INDEX(('Списки блоков'!$U$2:$U1010=B48)*(ROW('Списки блоков'!$U$2:$U1010)&lt;&gt;ROW('Списки блоков'!$U$3)),0),0)),"","IT,")
&amp;IF(ISERROR(MATCH(1,INDEX(('Списки блоков'!$V$2:$V1010=B48)*(ROW('Списки блоков'!$V$2:$V1010)&lt;&gt;ROW('Списки блоков'!$V$3)),0),0)),"","ДК,")
</f>
        <v/>
      </c>
      <c r="F48" s="242">
        <v>8.9043518855E10</v>
      </c>
      <c r="G48" s="235" t="s">
        <v>1240</v>
      </c>
      <c r="H48" s="163" t="s">
        <v>1241</v>
      </c>
      <c r="I48" s="163" t="s">
        <v>1242</v>
      </c>
      <c r="J48" s="232" t="s">
        <v>22</v>
      </c>
      <c r="K48" s="168"/>
      <c r="L48" s="168"/>
      <c r="AA48" s="155"/>
      <c r="AB48" s="155"/>
      <c r="AC48" s="155"/>
      <c r="AD48" s="155"/>
      <c r="AE48" s="155"/>
    </row>
    <row r="49">
      <c r="A49" s="179" t="s">
        <v>1243</v>
      </c>
      <c r="B49" s="180" t="s">
        <v>1244</v>
      </c>
      <c r="C49" s="186">
        <v>424.0</v>
      </c>
      <c r="D49" s="150" t="s">
        <v>1245</v>
      </c>
      <c r="E49" s="187" t="s">
        <v>1246</v>
      </c>
      <c r="F49" s="181">
        <v>8.9533398328E10</v>
      </c>
      <c r="G49" s="159" t="s">
        <v>1247</v>
      </c>
      <c r="H49" s="180" t="s">
        <v>1248</v>
      </c>
      <c r="I49" s="178" t="s">
        <v>1249</v>
      </c>
      <c r="J49" s="191"/>
      <c r="K49" s="154" t="s">
        <v>1250</v>
      </c>
      <c r="L49" s="154" t="s">
        <v>1250</v>
      </c>
      <c r="M49" s="155" t="s">
        <v>1251</v>
      </c>
      <c r="N49" s="196" t="s">
        <v>1252</v>
      </c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</row>
    <row r="50">
      <c r="A50" s="218" t="s">
        <v>1253</v>
      </c>
      <c r="B50" s="152" t="s">
        <v>1254</v>
      </c>
      <c r="C50" s="197" t="s">
        <v>1255</v>
      </c>
      <c r="D50" s="150" t="s">
        <v>1256</v>
      </c>
      <c r="E50" s="150" t="s">
        <v>1257</v>
      </c>
      <c r="F50" s="219">
        <v>8.909989171E10</v>
      </c>
      <c r="G50" s="205" t="s">
        <v>1258</v>
      </c>
      <c r="H50" s="243" t="s">
        <v>1259</v>
      </c>
      <c r="I50" s="191"/>
      <c r="J50" s="244" t="s">
        <v>1260</v>
      </c>
      <c r="K50" s="200" t="s">
        <v>1261</v>
      </c>
      <c r="L50" s="191"/>
      <c r="M50" s="161" t="s">
        <v>1262</v>
      </c>
      <c r="N50" s="194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</row>
    <row r="51">
      <c r="A51" s="177" t="s">
        <v>1263</v>
      </c>
      <c r="B51" s="150" t="s">
        <v>1264</v>
      </c>
      <c r="C51" s="197">
        <v>511.0</v>
      </c>
      <c r="D51" s="150" t="s">
        <v>1265</v>
      </c>
      <c r="E51" s="150" t="s">
        <v>1029</v>
      </c>
      <c r="F51" s="151">
        <v>8.9167369881E10</v>
      </c>
      <c r="G51" s="178" t="s">
        <v>1266</v>
      </c>
      <c r="H51" s="154" t="s">
        <v>1267</v>
      </c>
      <c r="I51" s="154" t="s">
        <v>1268</v>
      </c>
      <c r="J51" s="154" t="s">
        <v>1269</v>
      </c>
      <c r="K51" s="154" t="s">
        <v>1269</v>
      </c>
      <c r="L51" s="191"/>
      <c r="M51" s="155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55"/>
    </row>
    <row r="52">
      <c r="A52" s="185" t="s">
        <v>1270</v>
      </c>
      <c r="B52" s="187" t="s">
        <v>1271</v>
      </c>
      <c r="C52" s="186">
        <v>104.0</v>
      </c>
      <c r="D52" s="191"/>
      <c r="E52" s="191" t="s">
        <v>1029</v>
      </c>
      <c r="F52" s="186">
        <v>8.9188509295E10</v>
      </c>
      <c r="G52" s="190" t="s">
        <v>1272</v>
      </c>
      <c r="H52" s="187" t="s">
        <v>1273</v>
      </c>
      <c r="I52" s="191"/>
      <c r="J52" s="191"/>
      <c r="K52" s="191"/>
      <c r="L52" s="191"/>
      <c r="M52" s="194"/>
      <c r="N52" s="194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55"/>
    </row>
    <row r="53">
      <c r="A53" s="177" t="s">
        <v>1274</v>
      </c>
      <c r="B53" s="154"/>
      <c r="C53" s="151" t="s">
        <v>1275</v>
      </c>
      <c r="D53" s="150"/>
      <c r="E53" s="154" t="s">
        <v>1276</v>
      </c>
      <c r="F53" s="151">
        <v>8.9787345648E10</v>
      </c>
      <c r="G53" s="178" t="s">
        <v>1277</v>
      </c>
      <c r="H53" s="154" t="s">
        <v>1278</v>
      </c>
      <c r="I53" s="191"/>
      <c r="J53" s="154" t="s">
        <v>1279</v>
      </c>
      <c r="K53" s="154" t="s">
        <v>1279</v>
      </c>
      <c r="L53" s="154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</row>
    <row r="54">
      <c r="A54" s="179" t="s">
        <v>1280</v>
      </c>
      <c r="B54" s="180" t="s">
        <v>1281</v>
      </c>
      <c r="C54" s="181">
        <v>241.0</v>
      </c>
      <c r="D54" s="154"/>
      <c r="E54" s="180" t="s">
        <v>1282</v>
      </c>
      <c r="F54" s="180" t="s">
        <v>1283</v>
      </c>
      <c r="G54" s="189" t="s">
        <v>1284</v>
      </c>
      <c r="H54" s="180" t="s">
        <v>1285</v>
      </c>
      <c r="I54" s="154"/>
      <c r="J54" s="154"/>
      <c r="K54" s="154"/>
      <c r="L54" s="154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</row>
    <row r="55">
      <c r="A55" s="179" t="s">
        <v>1286</v>
      </c>
      <c r="B55" s="180" t="s">
        <v>1287</v>
      </c>
      <c r="C55" s="186">
        <v>424.0</v>
      </c>
      <c r="D55" s="150" t="s">
        <v>1288</v>
      </c>
      <c r="E55" s="150" t="s">
        <v>1029</v>
      </c>
      <c r="F55" s="181" t="s">
        <v>1289</v>
      </c>
      <c r="G55" s="159" t="s">
        <v>1290</v>
      </c>
      <c r="H55" s="180" t="s">
        <v>1291</v>
      </c>
      <c r="I55" s="245" t="s">
        <v>1292</v>
      </c>
      <c r="J55" s="191"/>
      <c r="K55" s="191"/>
      <c r="L55" s="191"/>
      <c r="M55" s="161" t="s">
        <v>1293</v>
      </c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</row>
    <row r="56">
      <c r="A56" s="149" t="s">
        <v>1294</v>
      </c>
      <c r="B56" s="150" t="s">
        <v>1295</v>
      </c>
      <c r="C56" s="197">
        <v>611.0</v>
      </c>
      <c r="D56" s="150" t="s">
        <v>1296</v>
      </c>
      <c r="E56" s="150" t="s">
        <v>1297</v>
      </c>
      <c r="F56" s="197">
        <v>8.9857559992E10</v>
      </c>
      <c r="G56" s="205" t="s">
        <v>1298</v>
      </c>
      <c r="H56" s="150" t="s">
        <v>1299</v>
      </c>
      <c r="I56" s="154"/>
      <c r="J56" s="154" t="s">
        <v>1300</v>
      </c>
      <c r="K56" s="150" t="s">
        <v>1301</v>
      </c>
      <c r="L56" s="150" t="s">
        <v>1302</v>
      </c>
      <c r="M56" s="161" t="s">
        <v>1303</v>
      </c>
      <c r="N56" s="161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</row>
    <row r="57">
      <c r="A57" s="149" t="s">
        <v>1304</v>
      </c>
      <c r="B57" s="150" t="s">
        <v>1305</v>
      </c>
      <c r="C57" s="197">
        <v>414.0</v>
      </c>
      <c r="D57" s="150" t="s">
        <v>1306</v>
      </c>
      <c r="E57" s="150" t="s">
        <v>1307</v>
      </c>
      <c r="F57" s="197">
        <v>8.9150948424E10</v>
      </c>
      <c r="G57" s="205" t="s">
        <v>1308</v>
      </c>
      <c r="H57" s="150" t="s">
        <v>1309</v>
      </c>
      <c r="I57" s="154"/>
      <c r="J57" s="154" t="s">
        <v>1310</v>
      </c>
      <c r="K57" s="150" t="s">
        <v>1311</v>
      </c>
      <c r="L57" s="150" t="s">
        <v>1312</v>
      </c>
      <c r="M57" s="155" t="s">
        <v>1313</v>
      </c>
      <c r="N57" s="196" t="s">
        <v>1314</v>
      </c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</row>
    <row r="58">
      <c r="A58" s="246" t="s">
        <v>1315</v>
      </c>
      <c r="B58" s="150" t="s">
        <v>1316</v>
      </c>
      <c r="C58" s="197">
        <v>517.0</v>
      </c>
      <c r="D58" s="150" t="s">
        <v>670</v>
      </c>
      <c r="E58" s="150" t="s">
        <v>1317</v>
      </c>
      <c r="F58" s="197">
        <v>8.9992802104E10</v>
      </c>
      <c r="G58" s="205" t="s">
        <v>1318</v>
      </c>
      <c r="H58" s="150" t="s">
        <v>1319</v>
      </c>
      <c r="I58" s="191"/>
      <c r="J58" s="191"/>
      <c r="K58" s="150" t="s">
        <v>1320</v>
      </c>
      <c r="L58" s="150" t="s">
        <v>1320</v>
      </c>
      <c r="M58" s="161" t="s">
        <v>1321</v>
      </c>
      <c r="N58" s="161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</row>
    <row r="59">
      <c r="A59" s="177" t="s">
        <v>1322</v>
      </c>
      <c r="B59" s="150" t="s">
        <v>1323</v>
      </c>
      <c r="C59" s="197">
        <v>524.0</v>
      </c>
      <c r="D59" s="150" t="s">
        <v>1288</v>
      </c>
      <c r="E59" s="150" t="s">
        <v>1324</v>
      </c>
      <c r="F59" s="197">
        <v>8.9189956002E10</v>
      </c>
      <c r="G59" s="205" t="s">
        <v>1325</v>
      </c>
      <c r="H59" s="150" t="s">
        <v>1326</v>
      </c>
      <c r="I59" s="190" t="s">
        <v>1327</v>
      </c>
      <c r="J59" s="150" t="s">
        <v>1328</v>
      </c>
      <c r="K59" s="150" t="s">
        <v>1329</v>
      </c>
      <c r="L59" s="150" t="s">
        <v>1330</v>
      </c>
      <c r="M59" s="161" t="s">
        <v>1331</v>
      </c>
      <c r="N59" s="194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</row>
    <row r="60">
      <c r="A60" s="218" t="s">
        <v>1332</v>
      </c>
      <c r="B60" s="187" t="s">
        <v>1333</v>
      </c>
      <c r="C60" s="186">
        <v>205.0</v>
      </c>
      <c r="D60" s="186" t="s">
        <v>1334</v>
      </c>
      <c r="E60" s="187" t="s">
        <v>1217</v>
      </c>
      <c r="F60" s="186" t="s">
        <v>1335</v>
      </c>
      <c r="G60" s="247" t="s">
        <v>1336</v>
      </c>
      <c r="H60" s="186" t="s">
        <v>1337</v>
      </c>
      <c r="I60" s="191"/>
      <c r="J60" s="191"/>
      <c r="K60" s="197" t="s">
        <v>1338</v>
      </c>
      <c r="L60" s="197" t="s">
        <v>1339</v>
      </c>
      <c r="M60" s="248" t="s">
        <v>1340</v>
      </c>
      <c r="N60" s="194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</row>
    <row r="61">
      <c r="A61" s="177" t="s">
        <v>1341</v>
      </c>
      <c r="B61" s="187" t="s">
        <v>1342</v>
      </c>
      <c r="C61" s="186">
        <v>104.0</v>
      </c>
      <c r="D61" s="191"/>
      <c r="E61" s="191" t="s">
        <v>1029</v>
      </c>
      <c r="F61" s="186">
        <v>8.9604110277E10</v>
      </c>
      <c r="G61" s="190" t="s">
        <v>1343</v>
      </c>
      <c r="H61" s="187" t="s">
        <v>1344</v>
      </c>
      <c r="I61" s="191"/>
      <c r="J61" s="191"/>
      <c r="K61" s="191"/>
      <c r="L61" s="191"/>
      <c r="M61" s="194"/>
      <c r="N61" s="194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</row>
    <row r="62">
      <c r="A62" s="149" t="s">
        <v>1345</v>
      </c>
      <c r="B62" s="150" t="s">
        <v>1346</v>
      </c>
      <c r="C62" s="197">
        <v>523.0</v>
      </c>
      <c r="D62" s="150" t="s">
        <v>1347</v>
      </c>
      <c r="E62" s="150" t="s">
        <v>1147</v>
      </c>
      <c r="F62" s="197">
        <v>8.9130105775E10</v>
      </c>
      <c r="G62" s="205" t="s">
        <v>1348</v>
      </c>
      <c r="H62" s="150" t="s">
        <v>1349</v>
      </c>
      <c r="I62" s="191"/>
      <c r="J62" s="191" t="s">
        <v>116</v>
      </c>
      <c r="K62" s="150" t="s">
        <v>1350</v>
      </c>
      <c r="L62" s="150" t="s">
        <v>1351</v>
      </c>
      <c r="M62" s="161" t="s">
        <v>1352</v>
      </c>
      <c r="N62" s="161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</row>
    <row r="63">
      <c r="A63" s="185" t="s">
        <v>1353</v>
      </c>
      <c r="B63" s="180" t="s">
        <v>1354</v>
      </c>
      <c r="C63" s="186">
        <v>116.0</v>
      </c>
      <c r="D63" s="150" t="s">
        <v>1355</v>
      </c>
      <c r="E63" s="187" t="s">
        <v>1356</v>
      </c>
      <c r="F63" s="186">
        <v>8.9147745157E10</v>
      </c>
      <c r="G63" s="190" t="s">
        <v>1357</v>
      </c>
      <c r="H63" s="187" t="s">
        <v>1358</v>
      </c>
      <c r="I63" s="191"/>
      <c r="J63" s="191"/>
      <c r="K63" s="191"/>
      <c r="L63" s="191"/>
      <c r="M63" s="155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55"/>
    </row>
    <row r="64">
      <c r="A64" s="185" t="s">
        <v>1359</v>
      </c>
      <c r="B64" s="152" t="s">
        <v>1360</v>
      </c>
      <c r="C64" s="186">
        <v>113.0</v>
      </c>
      <c r="D64" s="191"/>
      <c r="E64" s="187" t="s">
        <v>1361</v>
      </c>
      <c r="F64" s="186" t="s">
        <v>1362</v>
      </c>
      <c r="G64" s="190" t="s">
        <v>1363</v>
      </c>
      <c r="H64" s="187" t="s">
        <v>1364</v>
      </c>
      <c r="I64" s="191"/>
      <c r="J64" s="191"/>
      <c r="K64" s="191"/>
      <c r="L64" s="191"/>
      <c r="M64" s="194"/>
      <c r="N64" s="194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55"/>
    </row>
    <row r="65">
      <c r="A65" s="149" t="s">
        <v>1365</v>
      </c>
      <c r="B65" s="150" t="s">
        <v>1366</v>
      </c>
      <c r="C65" s="197">
        <v>528.0</v>
      </c>
      <c r="D65" s="150" t="s">
        <v>1367</v>
      </c>
      <c r="E65" s="150" t="s">
        <v>1368</v>
      </c>
      <c r="F65" s="197">
        <v>8.9262216533E10</v>
      </c>
      <c r="G65" s="205" t="s">
        <v>1369</v>
      </c>
      <c r="H65" s="150" t="s">
        <v>1370</v>
      </c>
      <c r="I65" s="178" t="s">
        <v>1371</v>
      </c>
      <c r="J65" s="154" t="s">
        <v>1372</v>
      </c>
      <c r="K65" s="150" t="s">
        <v>1373</v>
      </c>
      <c r="L65" s="197" t="s">
        <v>116</v>
      </c>
      <c r="M65" s="161" t="s">
        <v>1374</v>
      </c>
      <c r="N65" s="161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</row>
    <row r="66">
      <c r="A66" s="177" t="s">
        <v>1375</v>
      </c>
      <c r="B66" s="150" t="s">
        <v>1376</v>
      </c>
      <c r="C66" s="151">
        <v>416.0</v>
      </c>
      <c r="D66" s="150" t="s">
        <v>1377</v>
      </c>
      <c r="E66" s="154" t="s">
        <v>1378</v>
      </c>
      <c r="F66" s="151">
        <v>8.9173409119E10</v>
      </c>
      <c r="G66" s="178" t="s">
        <v>1379</v>
      </c>
      <c r="H66" s="154" t="s">
        <v>1380</v>
      </c>
      <c r="I66" s="154" t="s">
        <v>1381</v>
      </c>
      <c r="J66" s="154" t="s">
        <v>1382</v>
      </c>
      <c r="K66" s="154" t="s">
        <v>1383</v>
      </c>
      <c r="L66" s="154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</row>
    <row r="67">
      <c r="A67" s="156" t="s">
        <v>1384</v>
      </c>
      <c r="B67" s="154" t="s">
        <v>1385</v>
      </c>
      <c r="C67" s="157">
        <v>108.0</v>
      </c>
      <c r="D67" s="154"/>
      <c r="E67" s="154" t="s">
        <v>1094</v>
      </c>
      <c r="F67" s="158">
        <v>7.9689360708E10</v>
      </c>
      <c r="G67" s="159" t="s">
        <v>1386</v>
      </c>
      <c r="H67" s="160" t="s">
        <v>1387</v>
      </c>
      <c r="I67" s="154"/>
      <c r="J67" s="154"/>
      <c r="K67" s="154"/>
      <c r="L67" s="154"/>
      <c r="M67" s="161"/>
      <c r="N67" s="161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</row>
    <row r="68">
      <c r="A68" s="177" t="s">
        <v>1388</v>
      </c>
      <c r="B68" s="150" t="s">
        <v>1389</v>
      </c>
      <c r="C68" s="197">
        <v>416.0</v>
      </c>
      <c r="D68" s="150" t="s">
        <v>1390</v>
      </c>
      <c r="E68" s="152" t="s">
        <v>1391</v>
      </c>
      <c r="F68" s="197">
        <v>8.985203315E10</v>
      </c>
      <c r="G68" s="205" t="s">
        <v>1392</v>
      </c>
      <c r="H68" s="150" t="s">
        <v>1393</v>
      </c>
      <c r="I68" s="191"/>
      <c r="J68" s="191"/>
      <c r="K68" s="150" t="s">
        <v>1394</v>
      </c>
      <c r="L68" s="150" t="s">
        <v>1395</v>
      </c>
      <c r="M68" s="161" t="s">
        <v>1396</v>
      </c>
      <c r="N68" s="194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</row>
    <row r="69">
      <c r="A69" s="236" t="s">
        <v>1397</v>
      </c>
      <c r="B69" s="154"/>
      <c r="C69" s="151">
        <v>304.0</v>
      </c>
      <c r="D69" s="150" t="s">
        <v>1398</v>
      </c>
      <c r="E69" s="154" t="s">
        <v>741</v>
      </c>
      <c r="F69" s="219">
        <v>8.9169069561E10</v>
      </c>
      <c r="G69" s="178" t="s">
        <v>1399</v>
      </c>
      <c r="H69" s="207" t="s">
        <v>1400</v>
      </c>
      <c r="I69" s="154" t="s">
        <v>1401</v>
      </c>
      <c r="J69" s="226" t="s">
        <v>1401</v>
      </c>
      <c r="K69" s="208" t="s">
        <v>1401</v>
      </c>
      <c r="L69" s="154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</row>
    <row r="70">
      <c r="A70" s="165" t="s">
        <v>1402</v>
      </c>
      <c r="B70" s="163" t="str">
        <f>LEFT(A70,FIND(CHAR(160),SUBSTITUTE(A70," ",CHAR(160),2)) - 1)</f>
        <v>Годунова Елизавета</v>
      </c>
      <c r="C70" s="233" t="s">
        <v>1403</v>
      </c>
      <c r="D70" s="165" t="s">
        <v>1404</v>
      </c>
      <c r="E70" s="163" t="str">
        <f t="array" ref="E70">IF(ISERROR(MATCH(1,INDEX(('Списки блоков'!$B$2:$B1010=B70)*(ROW('Списки блоков'!$B$2:$B1010)&lt;&gt;ROW('Списки блоков'!$B$3)),0),0)),"","БДНС,")
&amp;IF(ISERROR(MATCH(1,INDEX(('Списки блоков'!$C$2:$C1010=B70)*(ROW('Списки блоков'!$C$2:$C1010)&lt;&gt;ROW('Списки блоков'!$C$3)),0),0)),"","Видеолаба,")
&amp;IF(ISERROR(MATCH(1,INDEX(('Списки блоков'!$D$2:$D1010=B70)*(ROW('Списки блоков'!$D$2:$D1010)&lt;&gt;ROW('Списки блоков'!$D$3)),0),0)),"","Декораторы,")
&amp;IF(ISERROR(MATCH(1,INDEX(('Списки блоков'!$E$2:$E1010=B70)*(ROW('Списки блоков'!$E$2:$E1010)&lt;&gt;ROW('Списки блоков'!$E$3)),0),0)),"","Дизайн,")
&amp;IF(ISERROR(MATCH(1,INDEX(('Списки блоков'!$F$2:$F1010=B70)*(ROW('Списки блоков'!$F$2:$F1010)&lt;&gt;ROW('Списки блоков'!$F$3)),0),0)),"","Досуг,")
&amp;IF(ISERROR(MATCH(1,INDEX(('Списки блоков'!$G$2:$G1010=B70)*(ROW('Списки блоков'!$G$2:$G1010)&lt;&gt;ROW('Списки блоков'!$G$3)),0),0)),"","Закупки,")
&amp;IF(ISERROR(MATCH(1,INDEX(('Списки блоков'!$H$2:$H1010=B70)*(ROW('Списки блоков'!$H$2:$H1010)&lt;&gt;ROW('Списки блоков'!$H$3)),0),0)),"","ИнфоБлок,")
&amp;IF(ISERROR(MATCH(1,INDEX(('Списки блоков'!$I$2:$I1010=B70)*(ROW('Списки блоков'!$I$2:$I1010)&lt;&gt;ROW('Списки блоков'!$I$3)),0),0)),"","КГ,")
&amp;IF(ISERROR(MATCH(1,INDEX(('Списки блоков'!$J$2:$J1010=B70)*(ROW('Списки блоков'!$J$2:$J1010)&lt;&gt;ROW('Списки блоков'!$J$3)),0),0)),"","МП,")
&amp;IF(ISERROR(MATCH(1,INDEX(('Списки блоков'!$K$2:$K1010=B70)*(ROW('Списки блоков'!$K$2:$K1010)&lt;&gt;ROW('Списки блоков'!$K$3)),0),0)),"","Профорги,")
&amp;IF(ISERROR(MATCH(1,INDEX(('Списки блоков'!$L$2:$L1010=B70)*(ROW('Списки блоков'!$L$2:$L1010)&lt;&gt;ROW('Списки блоков'!$L$3)),0),0)),"","Спонсоры,")
&amp;IF(ISERROR(MATCH(1,INDEX(('Списки блоков'!$M$2:$M1010=B70)*(ROW('Списки блоков'!$M$2:$M1010)&lt;&gt;ROW('Списки блоков'!$M$3)),0),0)),"","Склад,")
&amp;IF(ISERROR(MATCH(1,INDEX(('Списки блоков'!$N$2:$N1010=B70)*(ROW('Списки блоков'!$N$2:$N1010)&lt;&gt;ROW('Списки блоков'!$N$3)),0),0)),"","Сценаристы,")
&amp;IF(ISERROR(MATCH(1,INDEX(('Списки блоков'!$O$2:$O1010=B70)*(ROW('Списки блоков'!$O$2:$O1010)&lt;&gt;ROW('Списки блоков'!$O$3)),0),0)),"","Техники,")
&amp;IF(ISERROR(MATCH(1,INDEX(('Списки блоков'!$P$2:$P1010=B70)*(ROW('Списки блоков'!$P$2:$P1010)&lt;&gt;ROW('Списки блоков'!$P$3)),0),0)),"","УРС,")
&amp;IF(ISERROR(MATCH(1,INDEX(('Списки блоков'!$Q$2:$Q1010=B70)*(ROW('Списки блоков'!$Q$2:$Q1010)&lt;&gt;ROW('Списки блоков'!$Q$3)),0),0)),"","Фото,")
&amp;IF(ISERROR(MATCH(1,INDEX((#REF!=B70)*(ROW(#REF!)&lt;&gt;ROW(#REF!)),0),0)),"","ЭкоБлок,")
&amp;IF(ISERROR(MATCH(1,INDEX(('Списки блоков'!$R$2:$R1010=B70)*(ROW('Списки блоков'!$R$2:$R1010)&lt;&gt;ROW('Списки блоков'!$R$3)),0),0)),"","HR,")
&amp;IF(ISERROR(MATCH(1,INDEX(('Списки блоков'!$S$2:$S1010=B70)*(ROW('Списки блоков'!$S$2:$S1010)&lt;&gt;ROW('Списки блоков'!$S$3)),0),0)),"","Instagram,")
&amp;IF(ISERROR(MATCH(1,INDEX(('Списки блоков'!$T$2:$T1010=B70)*(ROW('Списки блоков'!$T$2:$T1010)&lt;&gt;ROW('Списки блоков'!$T$3)),0),0)),"","Zachёt,")
&amp;IF(ISERROR(MATCH(1,INDEX(('Списки блоков'!$U$2:$U1010=B70)*(ROW('Списки блоков'!$U$2:$U1010)&lt;&gt;ROW('Списки блоков'!$U$3)),0),0)),"","IT,")
&amp;IF(ISERROR(MATCH(1,INDEX(('Списки блоков'!$V$2:$V1010=B70)*(ROW('Списки блоков'!$V$2:$V1010)&lt;&gt;ROW('Списки блоков'!$V$3)),0),0)),"","ДК,")
</f>
        <v/>
      </c>
      <c r="F70" s="166">
        <v>8.9036234139E10</v>
      </c>
      <c r="G70" s="167" t="s">
        <v>1405</v>
      </c>
      <c r="H70" s="167" t="s">
        <v>1406</v>
      </c>
      <c r="I70" s="165" t="s">
        <v>1407</v>
      </c>
      <c r="J70" s="162" t="s">
        <v>22</v>
      </c>
      <c r="K70" s="168"/>
      <c r="L70" s="168"/>
      <c r="AA70" s="155"/>
      <c r="AB70" s="155"/>
      <c r="AC70" s="155"/>
      <c r="AD70" s="155"/>
      <c r="AE70" s="155"/>
    </row>
    <row r="71">
      <c r="A71" s="206" t="s">
        <v>1408</v>
      </c>
      <c r="B71" s="152" t="s">
        <v>1409</v>
      </c>
      <c r="C71" s="197" t="s">
        <v>1410</v>
      </c>
      <c r="D71" s="150" t="s">
        <v>1411</v>
      </c>
      <c r="E71" s="150" t="s">
        <v>1317</v>
      </c>
      <c r="F71" s="219">
        <v>8.9859370565E10</v>
      </c>
      <c r="G71" s="205" t="s">
        <v>1412</v>
      </c>
      <c r="H71" s="249" t="s">
        <v>1413</v>
      </c>
      <c r="I71" s="154"/>
      <c r="J71" s="208" t="s">
        <v>1414</v>
      </c>
      <c r="K71" s="191"/>
      <c r="L71" s="226" t="s">
        <v>1415</v>
      </c>
      <c r="M71" s="250" t="s">
        <v>1416</v>
      </c>
      <c r="N71" s="161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</row>
    <row r="72">
      <c r="A72" s="236" t="s">
        <v>1417</v>
      </c>
      <c r="B72" s="152" t="s">
        <v>1418</v>
      </c>
      <c r="C72" s="251">
        <v>416.0</v>
      </c>
      <c r="D72" s="150" t="s">
        <v>1419</v>
      </c>
      <c r="E72" s="154" t="s">
        <v>1420</v>
      </c>
      <c r="F72" s="219">
        <v>8.9159027272E10</v>
      </c>
      <c r="G72" s="178" t="s">
        <v>1421</v>
      </c>
      <c r="H72" s="207" t="s">
        <v>1422</v>
      </c>
      <c r="I72" s="208" t="s">
        <v>1423</v>
      </c>
      <c r="J72" s="154" t="s">
        <v>1423</v>
      </c>
      <c r="K72" s="208" t="s">
        <v>1423</v>
      </c>
      <c r="L72" s="154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</row>
    <row r="73">
      <c r="A73" s="218" t="s">
        <v>1424</v>
      </c>
      <c r="B73" s="150"/>
      <c r="C73" s="251">
        <v>213.0</v>
      </c>
      <c r="D73" s="150" t="s">
        <v>1425</v>
      </c>
      <c r="E73" s="154" t="s">
        <v>1426</v>
      </c>
      <c r="F73" s="251">
        <v>8.9689164024E10</v>
      </c>
      <c r="G73" s="178" t="s">
        <v>1427</v>
      </c>
      <c r="H73" s="207" t="s">
        <v>1428</v>
      </c>
      <c r="I73" s="191"/>
      <c r="J73" s="191"/>
      <c r="K73" s="208" t="s">
        <v>1429</v>
      </c>
      <c r="L73" s="154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</row>
    <row r="74">
      <c r="A74" s="185" t="s">
        <v>1430</v>
      </c>
      <c r="B74" s="150" t="s">
        <v>1431</v>
      </c>
      <c r="C74" s="186">
        <v>208.0</v>
      </c>
      <c r="D74" s="187" t="s">
        <v>1432</v>
      </c>
      <c r="E74" s="187" t="s">
        <v>1433</v>
      </c>
      <c r="F74" s="186" t="s">
        <v>1434</v>
      </c>
      <c r="G74" s="193" t="s">
        <v>1435</v>
      </c>
      <c r="H74" s="187" t="s">
        <v>1436</v>
      </c>
      <c r="I74" s="191"/>
      <c r="J74" s="191"/>
      <c r="K74" s="252" t="s">
        <v>1437</v>
      </c>
      <c r="L74" s="191"/>
      <c r="M74" s="194"/>
      <c r="N74" s="194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</row>
    <row r="75">
      <c r="A75" s="177" t="s">
        <v>1438</v>
      </c>
      <c r="B75" s="154"/>
      <c r="C75" s="151">
        <v>516.0</v>
      </c>
      <c r="D75" s="150" t="s">
        <v>1439</v>
      </c>
      <c r="E75" s="154" t="s">
        <v>1440</v>
      </c>
      <c r="F75" s="151">
        <v>8.9036166824E10</v>
      </c>
      <c r="G75" s="178" t="s">
        <v>1441</v>
      </c>
      <c r="H75" s="154" t="s">
        <v>1442</v>
      </c>
      <c r="I75" s="191"/>
      <c r="J75" s="154" t="s">
        <v>1443</v>
      </c>
      <c r="K75" s="154" t="s">
        <v>1444</v>
      </c>
      <c r="L75" s="154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</row>
    <row r="76">
      <c r="A76" s="177" t="s">
        <v>1445</v>
      </c>
      <c r="B76" s="150" t="s">
        <v>1446</v>
      </c>
      <c r="C76" s="197" t="s">
        <v>1447</v>
      </c>
      <c r="D76" s="191"/>
      <c r="E76" s="150" t="s">
        <v>1448</v>
      </c>
      <c r="F76" s="197">
        <v>8.9690515213E10</v>
      </c>
      <c r="G76" s="198" t="s">
        <v>1449</v>
      </c>
      <c r="H76" s="150" t="s">
        <v>1450</v>
      </c>
      <c r="I76" s="154" t="s">
        <v>1451</v>
      </c>
      <c r="J76" s="154" t="s">
        <v>1452</v>
      </c>
      <c r="K76" s="154" t="s">
        <v>1451</v>
      </c>
      <c r="L76" s="191"/>
      <c r="M76" s="155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55"/>
    </row>
    <row r="77">
      <c r="A77" s="149" t="s">
        <v>1453</v>
      </c>
      <c r="B77" s="150" t="s">
        <v>1454</v>
      </c>
      <c r="C77" s="197">
        <v>630.0</v>
      </c>
      <c r="D77" s="150" t="s">
        <v>1455</v>
      </c>
      <c r="E77" s="150" t="s">
        <v>1456</v>
      </c>
      <c r="F77" s="197">
        <v>8.9197601781E10</v>
      </c>
      <c r="G77" s="198" t="s">
        <v>1457</v>
      </c>
      <c r="H77" s="150" t="s">
        <v>1458</v>
      </c>
      <c r="I77" s="154"/>
      <c r="J77" s="154" t="s">
        <v>1459</v>
      </c>
      <c r="K77" s="154" t="s">
        <v>1460</v>
      </c>
      <c r="L77" s="154" t="s">
        <v>1461</v>
      </c>
      <c r="M77" s="155" t="s">
        <v>1462</v>
      </c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</row>
    <row r="78">
      <c r="A78" s="253" t="s">
        <v>1463</v>
      </c>
      <c r="B78" s="187" t="s">
        <v>1464</v>
      </c>
      <c r="C78" s="186">
        <v>414.0</v>
      </c>
      <c r="D78" s="150" t="s">
        <v>1465</v>
      </c>
      <c r="E78" s="187" t="s">
        <v>1217</v>
      </c>
      <c r="F78" s="186" t="s">
        <v>1466</v>
      </c>
      <c r="G78" s="193" t="s">
        <v>1467</v>
      </c>
      <c r="H78" s="187" t="s">
        <v>1468</v>
      </c>
      <c r="I78" s="191"/>
      <c r="J78" s="191"/>
      <c r="K78" s="150" t="s">
        <v>1469</v>
      </c>
      <c r="L78" s="197" t="s">
        <v>116</v>
      </c>
      <c r="M78" s="194"/>
      <c r="N78" s="191"/>
      <c r="O78" s="154"/>
      <c r="P78" s="154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</row>
    <row r="79">
      <c r="A79" s="254" t="s">
        <v>1463</v>
      </c>
      <c r="B79" s="180" t="s">
        <v>1464</v>
      </c>
      <c r="C79" s="186">
        <v>414.0</v>
      </c>
      <c r="D79" s="150" t="s">
        <v>1465</v>
      </c>
      <c r="E79" s="150" t="s">
        <v>1029</v>
      </c>
      <c r="F79" s="186" t="s">
        <v>1466</v>
      </c>
      <c r="G79" s="193" t="s">
        <v>1467</v>
      </c>
      <c r="H79" s="187" t="s">
        <v>1468</v>
      </c>
      <c r="I79" s="154"/>
      <c r="J79" s="191"/>
      <c r="K79" s="154" t="s">
        <v>1469</v>
      </c>
      <c r="L79" s="151" t="s">
        <v>116</v>
      </c>
      <c r="M79" s="194"/>
      <c r="N79" s="150"/>
      <c r="O79" s="154"/>
      <c r="P79" s="154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</row>
    <row r="80">
      <c r="A80" s="255" t="s">
        <v>1470</v>
      </c>
      <c r="B80" s="150" t="s">
        <v>1471</v>
      </c>
      <c r="C80" s="197">
        <v>517.0</v>
      </c>
      <c r="D80" s="150" t="s">
        <v>1472</v>
      </c>
      <c r="E80" s="150" t="s">
        <v>1317</v>
      </c>
      <c r="F80" s="197">
        <v>8.9173823169E10</v>
      </c>
      <c r="G80" s="205" t="s">
        <v>1473</v>
      </c>
      <c r="H80" s="150" t="s">
        <v>1474</v>
      </c>
      <c r="I80" s="178" t="s">
        <v>1475</v>
      </c>
      <c r="J80" s="154" t="s">
        <v>1476</v>
      </c>
      <c r="K80" s="154" t="s">
        <v>1476</v>
      </c>
      <c r="L80" s="154" t="s">
        <v>1477</v>
      </c>
      <c r="M80" s="161" t="s">
        <v>1478</v>
      </c>
      <c r="N80" s="196" t="s">
        <v>1479</v>
      </c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</row>
    <row r="81">
      <c r="A81" s="254" t="s">
        <v>1480</v>
      </c>
      <c r="B81" s="180" t="s">
        <v>1481</v>
      </c>
      <c r="C81" s="186">
        <v>411.0</v>
      </c>
      <c r="D81" s="150" t="s">
        <v>1482</v>
      </c>
      <c r="E81" s="187" t="s">
        <v>1483</v>
      </c>
      <c r="F81" s="186">
        <v>8.925405261E10</v>
      </c>
      <c r="G81" s="193" t="s">
        <v>1484</v>
      </c>
      <c r="H81" s="187" t="s">
        <v>1485</v>
      </c>
      <c r="I81" s="154"/>
      <c r="J81" s="191"/>
      <c r="K81" s="191"/>
      <c r="L81" s="191"/>
      <c r="M81" s="155" t="s">
        <v>1486</v>
      </c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</row>
    <row r="82">
      <c r="A82" s="255" t="s">
        <v>1487</v>
      </c>
      <c r="B82" s="154"/>
      <c r="C82" s="151">
        <v>412.0</v>
      </c>
      <c r="D82" s="154" t="s">
        <v>1488</v>
      </c>
      <c r="E82" s="154"/>
      <c r="F82" s="151">
        <v>8.9263497406E10</v>
      </c>
      <c r="G82" s="178" t="s">
        <v>1489</v>
      </c>
      <c r="H82" s="154" t="s">
        <v>1490</v>
      </c>
      <c r="I82" s="154" t="s">
        <v>1491</v>
      </c>
      <c r="J82" s="154" t="s">
        <v>1491</v>
      </c>
      <c r="K82" s="154" t="s">
        <v>1491</v>
      </c>
      <c r="L82" s="154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</row>
    <row r="83">
      <c r="A83" s="2" t="s">
        <v>1492</v>
      </c>
      <c r="B83" s="163" t="str">
        <f>LEFT(A83,FIND(CHAR(160),SUBSTITUTE(A83," ",CHAR(160),2)) - 1)</f>
        <v>Дроздова Елизавета</v>
      </c>
      <c r="C83" s="233">
        <v>317.0</v>
      </c>
      <c r="D83" s="163" t="s">
        <v>184</v>
      </c>
      <c r="E83" s="163" t="str">
        <f t="array" ref="E83">IF(ISERROR(MATCH(1,INDEX(('Списки блоков'!$B$2:$B1010=B83)*(ROW('Списки блоков'!$B$2:$B1010)&lt;&gt;ROW('Списки блоков'!$B$3)),0),0)),"","БДНС,")
&amp;IF(ISERROR(MATCH(1,INDEX(('Списки блоков'!$C$2:$C1010=B83)*(ROW('Списки блоков'!$C$2:$C1010)&lt;&gt;ROW('Списки блоков'!$C$3)),0),0)),"","Видеолаба,")
&amp;IF(ISERROR(MATCH(1,INDEX(('Списки блоков'!$D$2:$D1010=B83)*(ROW('Списки блоков'!$D$2:$D1010)&lt;&gt;ROW('Списки блоков'!$D$3)),0),0)),"","Декораторы,")
&amp;IF(ISERROR(MATCH(1,INDEX(('Списки блоков'!$E$2:$E1010=B83)*(ROW('Списки блоков'!$E$2:$E1010)&lt;&gt;ROW('Списки блоков'!$E$3)),0),0)),"","Дизайн,")
&amp;IF(ISERROR(MATCH(1,INDEX(('Списки блоков'!$F$2:$F1010=B83)*(ROW('Списки блоков'!$F$2:$F1010)&lt;&gt;ROW('Списки блоков'!$F$3)),0),0)),"","Досуг,")
&amp;IF(ISERROR(MATCH(1,INDEX(('Списки блоков'!$G$2:$G1010=B83)*(ROW('Списки блоков'!$G$2:$G1010)&lt;&gt;ROW('Списки блоков'!$G$3)),0),0)),"","Закупки,")
&amp;IF(ISERROR(MATCH(1,INDEX(('Списки блоков'!$H$2:$H1010=B83)*(ROW('Списки блоков'!$H$2:$H1010)&lt;&gt;ROW('Списки блоков'!$H$3)),0),0)),"","ИнфоБлок,")
&amp;IF(ISERROR(MATCH(1,INDEX(('Списки блоков'!$I$2:$I1010=B83)*(ROW('Списки блоков'!$I$2:$I1010)&lt;&gt;ROW('Списки блоков'!$I$3)),0),0)),"","КГ,")
&amp;IF(ISERROR(MATCH(1,INDEX(('Списки блоков'!$J$2:$J1010=B83)*(ROW('Списки блоков'!$J$2:$J1010)&lt;&gt;ROW('Списки блоков'!$J$3)),0),0)),"","МП,")
&amp;IF(ISERROR(MATCH(1,INDEX(('Списки блоков'!$K$2:$K1010=B83)*(ROW('Списки блоков'!$K$2:$K1010)&lt;&gt;ROW('Списки блоков'!$K$3)),0),0)),"","Профорги,")
&amp;IF(ISERROR(MATCH(1,INDEX(('Списки блоков'!$L$2:$L1010=B83)*(ROW('Списки блоков'!$L$2:$L1010)&lt;&gt;ROW('Списки блоков'!$L$3)),0),0)),"","Спонсоры,")
&amp;IF(ISERROR(MATCH(1,INDEX(('Списки блоков'!$M$2:$M1010=B83)*(ROW('Списки блоков'!$M$2:$M1010)&lt;&gt;ROW('Списки блоков'!$M$3)),0),0)),"","Склад,")
&amp;IF(ISERROR(MATCH(1,INDEX(('Списки блоков'!$N$2:$N1010=B83)*(ROW('Списки блоков'!$N$2:$N1010)&lt;&gt;ROW('Списки блоков'!$N$3)),0),0)),"","Сценаристы,")
&amp;IF(ISERROR(MATCH(1,INDEX(('Списки блоков'!$O$2:$O1010=B83)*(ROW('Списки блоков'!$O$2:$O1010)&lt;&gt;ROW('Списки блоков'!$O$3)),0),0)),"","Техники,")
&amp;IF(ISERROR(MATCH(1,INDEX(('Списки блоков'!$P$2:$P1010=B83)*(ROW('Списки блоков'!$P$2:$P1010)&lt;&gt;ROW('Списки блоков'!$P$3)),0),0)),"","УРС,")
&amp;IF(ISERROR(MATCH(1,INDEX(('Списки блоков'!$Q$2:$Q1010=B83)*(ROW('Списки блоков'!$Q$2:$Q1010)&lt;&gt;ROW('Списки блоков'!$Q$3)),0),0)),"","Фото,")
&amp;IF(ISERROR(MATCH(1,INDEX((#REF!=B83)*(ROW(#REF!)&lt;&gt;ROW(#REF!)),0),0)),"","ЭкоБлок,")
&amp;IF(ISERROR(MATCH(1,INDEX(('Списки блоков'!$R$2:$R1010=B83)*(ROW('Списки блоков'!$R$2:$R1010)&lt;&gt;ROW('Списки блоков'!$R$3)),0),0)),"","HR,")
&amp;IF(ISERROR(MATCH(1,INDEX(('Списки блоков'!$S$2:$S1010=B83)*(ROW('Списки блоков'!$S$2:$S1010)&lt;&gt;ROW('Списки блоков'!$S$3)),0),0)),"","Instagram,")
&amp;IF(ISERROR(MATCH(1,INDEX(('Списки блоков'!$T$2:$T1010=B83)*(ROW('Списки блоков'!$T$2:$T1010)&lt;&gt;ROW('Списки блоков'!$T$3)),0),0)),"","Zachёt,")
&amp;IF(ISERROR(MATCH(1,INDEX(('Списки блоков'!$U$2:$U1010=B83)*(ROW('Списки блоков'!$U$2:$U1010)&lt;&gt;ROW('Списки блоков'!$U$3)),0),0)),"","IT,")
&amp;IF(ISERROR(MATCH(1,INDEX(('Списки блоков'!$V$2:$V1010=B83)*(ROW('Списки блоков'!$V$2:$V1010)&lt;&gt;ROW('Списки блоков'!$V$3)),0),0)),"","ДК,")
</f>
        <v/>
      </c>
      <c r="F83" s="233">
        <v>8.9260239059E10</v>
      </c>
      <c r="G83" s="163" t="s">
        <v>1493</v>
      </c>
      <c r="H83" s="163" t="s">
        <v>1494</v>
      </c>
      <c r="I83" s="163" t="s">
        <v>1495</v>
      </c>
      <c r="J83" s="232" t="s">
        <v>22</v>
      </c>
      <c r="K83" s="168"/>
      <c r="L83" s="168"/>
      <c r="AA83" s="155"/>
      <c r="AB83" s="155"/>
      <c r="AC83" s="155"/>
      <c r="AD83" s="155"/>
      <c r="AE83" s="155"/>
    </row>
    <row r="84">
      <c r="A84" s="255" t="s">
        <v>1496</v>
      </c>
      <c r="B84" s="180" t="s">
        <v>1497</v>
      </c>
      <c r="C84" s="181">
        <v>203.0</v>
      </c>
      <c r="D84" s="191"/>
      <c r="E84" s="187" t="s">
        <v>1019</v>
      </c>
      <c r="F84" s="181">
        <v>8.9031684031E10</v>
      </c>
      <c r="G84" s="159" t="s">
        <v>1498</v>
      </c>
      <c r="H84" s="180" t="s">
        <v>1499</v>
      </c>
      <c r="I84" s="154"/>
      <c r="J84" s="154"/>
      <c r="K84" s="191"/>
      <c r="L84" s="191"/>
      <c r="M84" s="155" t="s">
        <v>1500</v>
      </c>
      <c r="N84" s="161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</row>
    <row r="85">
      <c r="A85" s="256" t="s">
        <v>1501</v>
      </c>
      <c r="B85" s="187" t="s">
        <v>1502</v>
      </c>
      <c r="C85" s="186">
        <v>403.0</v>
      </c>
      <c r="D85" s="191"/>
      <c r="E85" s="191" t="s">
        <v>1029</v>
      </c>
      <c r="F85" s="186" t="s">
        <v>1503</v>
      </c>
      <c r="G85" s="193" t="s">
        <v>1504</v>
      </c>
      <c r="H85" s="187" t="s">
        <v>1505</v>
      </c>
      <c r="I85" s="191"/>
      <c r="J85" s="191"/>
      <c r="K85" s="191"/>
      <c r="L85" s="191"/>
      <c r="M85" s="194"/>
      <c r="N85" s="194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</row>
    <row r="86">
      <c r="A86" s="179" t="s">
        <v>1506</v>
      </c>
      <c r="B86" s="192" t="s">
        <v>1507</v>
      </c>
      <c r="C86" s="186">
        <v>530.0</v>
      </c>
      <c r="D86" s="150" t="s">
        <v>1508</v>
      </c>
      <c r="E86" s="187" t="s">
        <v>1509</v>
      </c>
      <c r="F86" s="186">
        <v>8.9616616165E10</v>
      </c>
      <c r="G86" s="193" t="s">
        <v>1510</v>
      </c>
      <c r="H86" s="187" t="s">
        <v>1511</v>
      </c>
      <c r="I86" s="191"/>
      <c r="J86" s="191"/>
      <c r="K86" s="150" t="s">
        <v>1512</v>
      </c>
      <c r="L86" s="150" t="s">
        <v>1513</v>
      </c>
      <c r="M86" s="250" t="s">
        <v>1514</v>
      </c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</row>
    <row r="87">
      <c r="A87" s="177" t="s">
        <v>1515</v>
      </c>
      <c r="B87" s="154"/>
      <c r="C87" s="151">
        <v>113.0</v>
      </c>
      <c r="D87" s="154" t="s">
        <v>1516</v>
      </c>
      <c r="E87" s="154" t="s">
        <v>1517</v>
      </c>
      <c r="F87" s="151">
        <v>8.9031356945E10</v>
      </c>
      <c r="G87" s="178" t="s">
        <v>1518</v>
      </c>
      <c r="H87" s="154" t="s">
        <v>1519</v>
      </c>
      <c r="I87" s="191"/>
      <c r="J87" s="191"/>
      <c r="K87" s="154" t="s">
        <v>1520</v>
      </c>
      <c r="L87" s="154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</row>
    <row r="88">
      <c r="A88" s="179" t="s">
        <v>1521</v>
      </c>
      <c r="B88" s="187" t="s">
        <v>1522</v>
      </c>
      <c r="C88" s="181">
        <v>317.0</v>
      </c>
      <c r="D88" s="180" t="s">
        <v>1523</v>
      </c>
      <c r="E88" s="187" t="s">
        <v>1524</v>
      </c>
      <c r="F88" s="181" t="s">
        <v>1525</v>
      </c>
      <c r="G88" s="159" t="s">
        <v>1526</v>
      </c>
      <c r="H88" s="180" t="s">
        <v>1527</v>
      </c>
      <c r="I88" s="150"/>
      <c r="J88" s="150"/>
      <c r="K88" s="154" t="s">
        <v>1528</v>
      </c>
      <c r="L88" s="154" t="s">
        <v>1529</v>
      </c>
      <c r="M88" s="257" t="s">
        <v>1530</v>
      </c>
      <c r="N88" s="161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</row>
    <row r="89">
      <c r="A89" s="258" t="s">
        <v>1531</v>
      </c>
      <c r="B89" s="170" t="s">
        <v>1531</v>
      </c>
      <c r="C89" s="171">
        <v>210.0</v>
      </c>
      <c r="D89" s="170" t="s">
        <v>1532</v>
      </c>
      <c r="E89" s="172" t="s">
        <v>1155</v>
      </c>
      <c r="F89" s="259">
        <v>8.9629859569E10</v>
      </c>
      <c r="G89" s="173" t="s">
        <v>1533</v>
      </c>
      <c r="H89" s="172" t="s">
        <v>1534</v>
      </c>
      <c r="I89" s="172" t="s">
        <v>1535</v>
      </c>
      <c r="J89" s="172" t="s">
        <v>1536</v>
      </c>
      <c r="K89" s="172" t="s">
        <v>1536</v>
      </c>
      <c r="L89" s="154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</row>
    <row r="90">
      <c r="A90" s="177" t="s">
        <v>1537</v>
      </c>
      <c r="B90" s="150" t="s">
        <v>1538</v>
      </c>
      <c r="C90" s="197">
        <v>611.0</v>
      </c>
      <c r="D90" s="150" t="s">
        <v>1539</v>
      </c>
      <c r="E90" s="150" t="s">
        <v>1540</v>
      </c>
      <c r="F90" s="197">
        <v>8.9161467144E10</v>
      </c>
      <c r="G90" s="198" t="s">
        <v>1541</v>
      </c>
      <c r="H90" s="150" t="s">
        <v>1542</v>
      </c>
      <c r="I90" s="154" t="s">
        <v>1543</v>
      </c>
      <c r="J90" s="150" t="s">
        <v>1544</v>
      </c>
      <c r="K90" s="150" t="s">
        <v>1545</v>
      </c>
      <c r="L90" s="154" t="s">
        <v>1546</v>
      </c>
      <c r="M90" s="155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55"/>
    </row>
    <row r="91">
      <c r="A91" s="149" t="s">
        <v>1547</v>
      </c>
      <c r="B91" s="260"/>
      <c r="C91" s="260"/>
      <c r="D91" s="260"/>
      <c r="E91" s="217" t="s">
        <v>754</v>
      </c>
      <c r="F91" s="217"/>
      <c r="G91" s="261" t="s">
        <v>1548</v>
      </c>
      <c r="H91" s="217"/>
      <c r="I91" s="260"/>
      <c r="J91" s="260"/>
      <c r="K91" s="217"/>
      <c r="L91" s="154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</row>
    <row r="92">
      <c r="A92" s="156" t="s">
        <v>1549</v>
      </c>
      <c r="B92" s="217" t="s">
        <v>1550</v>
      </c>
      <c r="C92" s="262">
        <v>213.0</v>
      </c>
      <c r="D92" s="217"/>
      <c r="E92" s="217" t="s">
        <v>1069</v>
      </c>
      <c r="F92" s="263" t="s">
        <v>1551</v>
      </c>
      <c r="G92" s="264" t="s">
        <v>1552</v>
      </c>
      <c r="H92" s="217"/>
      <c r="I92" s="217"/>
      <c r="J92" s="217"/>
      <c r="K92" s="217"/>
      <c r="L92" s="154"/>
      <c r="M92" s="161"/>
      <c r="N92" s="161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</row>
    <row r="93">
      <c r="A93" s="165" t="s">
        <v>1553</v>
      </c>
      <c r="B93" s="265" t="str">
        <f>LEFT(A93,FIND(CHAR(160),SUBSTITUTE(A93," ",CHAR(160),2)) - 1)</f>
        <v>Загородных Александр</v>
      </c>
      <c r="C93" s="266">
        <v>208.0</v>
      </c>
      <c r="D93" s="267" t="s">
        <v>1554</v>
      </c>
      <c r="E93" s="265" t="str">
        <f t="array" ref="E93">IF(ISERROR(MATCH(1,INDEX(('Списки блоков'!$B$2:$B1010=B93)*(ROW('Списки блоков'!$B$2:$B1010)&lt;&gt;ROW('Списки блоков'!$B$3)),0),0)),"","БДНС,")
&amp;IF(ISERROR(MATCH(1,INDEX(('Списки блоков'!$C$2:$C1010=B93)*(ROW('Списки блоков'!$C$2:$C1010)&lt;&gt;ROW('Списки блоков'!$C$3)),0),0)),"","Видеолаба,")
&amp;IF(ISERROR(MATCH(1,INDEX(('Списки блоков'!$D$2:$D1010=B93)*(ROW('Списки блоков'!$D$2:$D1010)&lt;&gt;ROW('Списки блоков'!$D$3)),0),0)),"","Декораторы,")
&amp;IF(ISERROR(MATCH(1,INDEX(('Списки блоков'!$E$2:$E1010=B93)*(ROW('Списки блоков'!$E$2:$E1010)&lt;&gt;ROW('Списки блоков'!$E$3)),0),0)),"","Дизайн,")
&amp;IF(ISERROR(MATCH(1,INDEX(('Списки блоков'!$F$2:$F1010=B93)*(ROW('Списки блоков'!$F$2:$F1010)&lt;&gt;ROW('Списки блоков'!$F$3)),0),0)),"","Досуг,")
&amp;IF(ISERROR(MATCH(1,INDEX(('Списки блоков'!$G$2:$G1010=B93)*(ROW('Списки блоков'!$G$2:$G1010)&lt;&gt;ROW('Списки блоков'!$G$3)),0),0)),"","Закупки,")
&amp;IF(ISERROR(MATCH(1,INDEX(('Списки блоков'!$H$2:$H1010=B93)*(ROW('Списки блоков'!$H$2:$H1010)&lt;&gt;ROW('Списки блоков'!$H$3)),0),0)),"","ИнфоБлок,")
&amp;IF(ISERROR(MATCH(1,INDEX(('Списки блоков'!$I$2:$I1010=B93)*(ROW('Списки блоков'!$I$2:$I1010)&lt;&gt;ROW('Списки блоков'!$I$3)),0),0)),"","КГ,")
&amp;IF(ISERROR(MATCH(1,INDEX(('Списки блоков'!$J$2:$J1010=B93)*(ROW('Списки блоков'!$J$2:$J1010)&lt;&gt;ROW('Списки блоков'!$J$3)),0),0)),"","МП,")
&amp;IF(ISERROR(MATCH(1,INDEX(('Списки блоков'!$K$2:$K1010=B93)*(ROW('Списки блоков'!$K$2:$K1010)&lt;&gt;ROW('Списки блоков'!$K$3)),0),0)),"","Профорги,")
&amp;IF(ISERROR(MATCH(1,INDEX(('Списки блоков'!$L$2:$L1010=B93)*(ROW('Списки блоков'!$L$2:$L1010)&lt;&gt;ROW('Списки блоков'!$L$3)),0),0)),"","Спонсоры,")
&amp;IF(ISERROR(MATCH(1,INDEX(('Списки блоков'!$M$2:$M1010=B93)*(ROW('Списки блоков'!$M$2:$M1010)&lt;&gt;ROW('Списки блоков'!$M$3)),0),0)),"","Склад,")
&amp;IF(ISERROR(MATCH(1,INDEX(('Списки блоков'!$N$2:$N1010=B93)*(ROW('Списки блоков'!$N$2:$N1010)&lt;&gt;ROW('Списки блоков'!$N$3)),0),0)),"","Сценаристы,")
&amp;IF(ISERROR(MATCH(1,INDEX(('Списки блоков'!$O$2:$O1010=B93)*(ROW('Списки блоков'!$O$2:$O1010)&lt;&gt;ROW('Списки блоков'!$O$3)),0),0)),"","Техники,")
&amp;IF(ISERROR(MATCH(1,INDEX(('Списки блоков'!$P$2:$P1010=B93)*(ROW('Списки блоков'!$P$2:$P1010)&lt;&gt;ROW('Списки блоков'!$P$3)),0),0)),"","УРС,")
&amp;IF(ISERROR(MATCH(1,INDEX(('Списки блоков'!$Q$2:$Q1010=B93)*(ROW('Списки блоков'!$Q$2:$Q1010)&lt;&gt;ROW('Списки блоков'!$Q$3)),0),0)),"","Фото,")
&amp;IF(ISERROR(MATCH(1,INDEX((#REF!=B93)*(ROW(#REF!)&lt;&gt;ROW(#REF!)),0),0)),"","ЭкоБлок,")
&amp;IF(ISERROR(MATCH(1,INDEX(('Списки блоков'!$R$2:$R1010=B93)*(ROW('Списки блоков'!$R$2:$R1010)&lt;&gt;ROW('Списки блоков'!$R$3)),0),0)),"","HR,")
&amp;IF(ISERROR(MATCH(1,INDEX(('Списки блоков'!$S$2:$S1010=B93)*(ROW('Списки блоков'!$S$2:$S1010)&lt;&gt;ROW('Списки блоков'!$S$3)),0),0)),"","Instagram,")
&amp;IF(ISERROR(MATCH(1,INDEX(('Списки блоков'!$T$2:$T1010=B93)*(ROW('Списки блоков'!$T$2:$T1010)&lt;&gt;ROW('Списки блоков'!$T$3)),0),0)),"","Zachёt,")
&amp;IF(ISERROR(MATCH(1,INDEX(('Списки блоков'!$U$2:$U1010=B93)*(ROW('Списки блоков'!$U$2:$U1010)&lt;&gt;ROW('Списки блоков'!$U$3)),0),0)),"","IT,")
&amp;IF(ISERROR(MATCH(1,INDEX(('Списки блоков'!$V$2:$V1010=B93)*(ROW('Списки блоков'!$V$2:$V1010)&lt;&gt;ROW('Списки блоков'!$V$3)),0),0)),"","ДК,")
</f>
        <v/>
      </c>
      <c r="F93" s="268">
        <v>8.9236736021E10</v>
      </c>
      <c r="G93" s="269" t="s">
        <v>1555</v>
      </c>
      <c r="H93" s="267" t="s">
        <v>1556</v>
      </c>
      <c r="I93" s="267" t="s">
        <v>1557</v>
      </c>
      <c r="J93" s="268" t="s">
        <v>22</v>
      </c>
      <c r="K93" s="270"/>
      <c r="L93" s="168"/>
      <c r="AA93" s="155"/>
      <c r="AB93" s="155"/>
      <c r="AC93" s="155"/>
      <c r="AD93" s="155"/>
      <c r="AE93" s="155"/>
    </row>
    <row r="94">
      <c r="A94" s="177" t="s">
        <v>1558</v>
      </c>
      <c r="B94" s="217"/>
      <c r="C94" s="271">
        <v>319.0</v>
      </c>
      <c r="D94" s="211" t="s">
        <v>1559</v>
      </c>
      <c r="E94" s="211" t="s">
        <v>751</v>
      </c>
      <c r="F94" s="210">
        <v>8.9671201823E10</v>
      </c>
      <c r="G94" s="261" t="s">
        <v>1560</v>
      </c>
      <c r="H94" s="217" t="s">
        <v>1561</v>
      </c>
      <c r="I94" s="217" t="s">
        <v>1562</v>
      </c>
      <c r="J94" s="217" t="s">
        <v>1563</v>
      </c>
      <c r="K94" s="217" t="s">
        <v>1564</v>
      </c>
      <c r="L94" s="154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</row>
    <row r="95">
      <c r="A95" s="177" t="s">
        <v>1565</v>
      </c>
      <c r="B95" s="211" t="s">
        <v>1566</v>
      </c>
      <c r="C95" s="210">
        <v>530.0</v>
      </c>
      <c r="D95" s="211" t="s">
        <v>670</v>
      </c>
      <c r="E95" s="272" t="s">
        <v>1567</v>
      </c>
      <c r="F95" s="210">
        <v>8.9097514021E10</v>
      </c>
      <c r="G95" s="273" t="s">
        <v>1568</v>
      </c>
      <c r="H95" s="211" t="s">
        <v>1569</v>
      </c>
      <c r="I95" s="260"/>
      <c r="J95" s="211" t="s">
        <v>1570</v>
      </c>
      <c r="K95" s="211" t="s">
        <v>1571</v>
      </c>
      <c r="L95" s="150" t="s">
        <v>1572</v>
      </c>
      <c r="M95" s="155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55"/>
    </row>
    <row r="96">
      <c r="A96" s="177" t="s">
        <v>1573</v>
      </c>
      <c r="B96" s="211" t="s">
        <v>1574</v>
      </c>
      <c r="C96" s="210">
        <v>530.0</v>
      </c>
      <c r="D96" s="211" t="s">
        <v>1575</v>
      </c>
      <c r="E96" s="211" t="s">
        <v>1576</v>
      </c>
      <c r="F96" s="210">
        <v>8.9172797405E10</v>
      </c>
      <c r="G96" s="274" t="s">
        <v>1577</v>
      </c>
      <c r="H96" s="211" t="s">
        <v>1578</v>
      </c>
      <c r="I96" s="260"/>
      <c r="J96" s="260"/>
      <c r="K96" s="275">
        <v>8.9172797405E10</v>
      </c>
      <c r="L96" s="150" t="s">
        <v>1579</v>
      </c>
      <c r="M96" s="276" t="s">
        <v>1580</v>
      </c>
      <c r="N96" s="194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</row>
    <row r="97">
      <c r="A97" s="218" t="s">
        <v>1581</v>
      </c>
      <c r="B97" s="217"/>
      <c r="C97" s="271">
        <v>304.0</v>
      </c>
      <c r="D97" s="211" t="s">
        <v>1582</v>
      </c>
      <c r="E97" s="217" t="s">
        <v>1583</v>
      </c>
      <c r="F97" s="277">
        <v>8.965205436E10</v>
      </c>
      <c r="G97" s="261" t="s">
        <v>1584</v>
      </c>
      <c r="H97" s="278" t="s">
        <v>1585</v>
      </c>
      <c r="I97" s="216" t="s">
        <v>1586</v>
      </c>
      <c r="J97" s="279">
        <v>8.965205436E10</v>
      </c>
      <c r="K97" s="217" t="s">
        <v>1587</v>
      </c>
      <c r="L97" s="154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</row>
    <row r="98">
      <c r="A98" s="280" t="s">
        <v>1588</v>
      </c>
      <c r="B98" s="155"/>
      <c r="C98" s="281">
        <v>211.0</v>
      </c>
      <c r="D98" s="161" t="s">
        <v>1589</v>
      </c>
      <c r="E98" s="155" t="s">
        <v>752</v>
      </c>
      <c r="F98" s="282">
        <v>8.9969233637E10</v>
      </c>
      <c r="G98" s="283" t="s">
        <v>1590</v>
      </c>
      <c r="H98" s="284" t="s">
        <v>1591</v>
      </c>
      <c r="I98" s="285" t="s">
        <v>116</v>
      </c>
      <c r="J98" s="161" t="s">
        <v>1592</v>
      </c>
      <c r="K98" s="194" t="s">
        <v>116</v>
      </c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</row>
    <row r="99">
      <c r="A99" s="218" t="s">
        <v>1593</v>
      </c>
      <c r="B99" s="209" t="s">
        <v>1594</v>
      </c>
      <c r="C99" s="271">
        <v>441.0</v>
      </c>
      <c r="D99" s="211" t="s">
        <v>1595</v>
      </c>
      <c r="E99" s="217" t="s">
        <v>1596</v>
      </c>
      <c r="F99" s="277">
        <v>8.9778977322E10</v>
      </c>
      <c r="G99" s="261" t="s">
        <v>1597</v>
      </c>
      <c r="H99" s="278" t="s">
        <v>1598</v>
      </c>
      <c r="I99" s="286" t="s">
        <v>1599</v>
      </c>
      <c r="J99" s="286" t="s">
        <v>1600</v>
      </c>
      <c r="K99" s="286" t="s">
        <v>116</v>
      </c>
      <c r="L99" s="154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</row>
    <row r="100">
      <c r="A100" s="206" t="s">
        <v>1601</v>
      </c>
      <c r="B100" s="209" t="s">
        <v>1602</v>
      </c>
      <c r="C100" s="210">
        <v>421.0</v>
      </c>
      <c r="D100" s="217" t="s">
        <v>1603</v>
      </c>
      <c r="E100" s="211" t="s">
        <v>1029</v>
      </c>
      <c r="F100" s="277">
        <v>8.9163146336E10</v>
      </c>
      <c r="G100" s="274" t="s">
        <v>1604</v>
      </c>
      <c r="H100" s="287" t="s">
        <v>1605</v>
      </c>
      <c r="I100" s="211"/>
      <c r="J100" s="211"/>
      <c r="K100" s="288" t="s">
        <v>1606</v>
      </c>
      <c r="L100" s="200" t="s">
        <v>1607</v>
      </c>
      <c r="M100" s="155" t="s">
        <v>1608</v>
      </c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</row>
    <row r="101">
      <c r="A101" s="218" t="s">
        <v>1609</v>
      </c>
      <c r="B101" s="217"/>
      <c r="C101" s="271">
        <v>313.0</v>
      </c>
      <c r="D101" s="211" t="s">
        <v>1610</v>
      </c>
      <c r="E101" s="217" t="s">
        <v>1611</v>
      </c>
      <c r="F101" s="289">
        <v>8.9176509999E10</v>
      </c>
      <c r="G101" s="261" t="s">
        <v>1612</v>
      </c>
      <c r="H101" s="290" t="s">
        <v>1613</v>
      </c>
      <c r="I101" s="217"/>
      <c r="J101" s="286" t="s">
        <v>1614</v>
      </c>
      <c r="K101" s="217"/>
      <c r="L101" s="154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</row>
    <row r="102">
      <c r="A102" s="206" t="s">
        <v>1615</v>
      </c>
      <c r="B102" s="184" t="str">
        <f>LEFT(A102,FIND(CHAR(160),SUBSTITUTE(A102," ",CHAR(160),2)) - 1)</f>
        <v>Иванова Мария</v>
      </c>
      <c r="C102" s="217"/>
      <c r="D102" s="217"/>
      <c r="E102" s="217" t="s">
        <v>1029</v>
      </c>
      <c r="F102" s="217"/>
      <c r="G102" s="217"/>
      <c r="H102" s="217"/>
      <c r="I102" s="217"/>
      <c r="J102" s="217"/>
      <c r="K102" s="217"/>
      <c r="L102" s="154"/>
      <c r="M102" s="155"/>
      <c r="N102" s="155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</row>
    <row r="103">
      <c r="A103" s="149" t="s">
        <v>1616</v>
      </c>
      <c r="B103" s="217" t="s">
        <v>1617</v>
      </c>
      <c r="C103" s="271">
        <v>103.0</v>
      </c>
      <c r="D103" s="217" t="s">
        <v>1618</v>
      </c>
      <c r="E103" s="217" t="s">
        <v>1456</v>
      </c>
      <c r="F103" s="271">
        <v>8.9145979205E10</v>
      </c>
      <c r="G103" s="283" t="s">
        <v>1619</v>
      </c>
      <c r="H103" s="217" t="s">
        <v>1620</v>
      </c>
      <c r="I103" s="217"/>
      <c r="J103" s="217"/>
      <c r="K103" s="217" t="s">
        <v>1621</v>
      </c>
      <c r="L103" s="154"/>
      <c r="M103" s="250" t="s">
        <v>1622</v>
      </c>
      <c r="N103" s="161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</row>
    <row r="104">
      <c r="A104" s="177" t="s">
        <v>1623</v>
      </c>
      <c r="B104" s="211" t="s">
        <v>1624</v>
      </c>
      <c r="C104" s="210">
        <v>218.0</v>
      </c>
      <c r="D104" s="211" t="s">
        <v>1625</v>
      </c>
      <c r="E104" s="211" t="s">
        <v>1626</v>
      </c>
      <c r="F104" s="210">
        <f>89654111380</f>
        <v>89654111380</v>
      </c>
      <c r="G104" s="273" t="s">
        <v>1627</v>
      </c>
      <c r="H104" s="211" t="s">
        <v>1628</v>
      </c>
      <c r="I104" s="260"/>
      <c r="J104" s="211" t="s">
        <v>1629</v>
      </c>
      <c r="K104" s="211" t="s">
        <v>1630</v>
      </c>
      <c r="L104" s="187" t="s">
        <v>1631</v>
      </c>
      <c r="M104" s="155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55"/>
    </row>
    <row r="105">
      <c r="A105" s="206" t="s">
        <v>1632</v>
      </c>
      <c r="B105" s="209" t="s">
        <v>1633</v>
      </c>
      <c r="C105" s="210">
        <v>324.0</v>
      </c>
      <c r="D105" s="211" t="s">
        <v>1634</v>
      </c>
      <c r="E105" s="260" t="s">
        <v>1540</v>
      </c>
      <c r="F105" s="289">
        <v>8.9036286977E10</v>
      </c>
      <c r="G105" s="274" t="s">
        <v>1635</v>
      </c>
      <c r="H105" s="291" t="s">
        <v>1636</v>
      </c>
      <c r="I105" s="292" t="s">
        <v>1637</v>
      </c>
      <c r="J105" s="260"/>
      <c r="K105" s="286" t="s">
        <v>1638</v>
      </c>
      <c r="L105" s="226" t="s">
        <v>1639</v>
      </c>
      <c r="M105" s="161" t="s">
        <v>1640</v>
      </c>
      <c r="N105" s="161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</row>
    <row r="106">
      <c r="A106" s="156" t="s">
        <v>1641</v>
      </c>
      <c r="B106" s="217" t="s">
        <v>1642</v>
      </c>
      <c r="C106" s="293">
        <v>114.0</v>
      </c>
      <c r="D106" s="217"/>
      <c r="E106" s="217" t="s">
        <v>1029</v>
      </c>
      <c r="F106" s="263" t="s">
        <v>1643</v>
      </c>
      <c r="G106" s="264" t="s">
        <v>1644</v>
      </c>
      <c r="H106" s="263" t="s">
        <v>1645</v>
      </c>
      <c r="I106" s="217"/>
      <c r="J106" s="217"/>
      <c r="K106" s="217"/>
      <c r="L106" s="154"/>
      <c r="M106" s="161"/>
      <c r="N106" s="161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</row>
    <row r="107">
      <c r="A107" s="218" t="s">
        <v>1646</v>
      </c>
      <c r="B107" s="209" t="s">
        <v>1647</v>
      </c>
      <c r="C107" s="210" t="s">
        <v>1648</v>
      </c>
      <c r="D107" s="211" t="s">
        <v>1649</v>
      </c>
      <c r="E107" s="211" t="s">
        <v>1650</v>
      </c>
      <c r="F107" s="277">
        <v>8.9053082223E10</v>
      </c>
      <c r="G107" s="273" t="s">
        <v>1651</v>
      </c>
      <c r="H107" s="287" t="s">
        <v>1652</v>
      </c>
      <c r="I107" s="260"/>
      <c r="J107" s="216" t="s">
        <v>1653</v>
      </c>
      <c r="K107" s="216" t="s">
        <v>1654</v>
      </c>
      <c r="L107" s="154" t="s">
        <v>1655</v>
      </c>
      <c r="M107" s="155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55"/>
    </row>
    <row r="108">
      <c r="A108" s="179" t="s">
        <v>1656</v>
      </c>
      <c r="B108" s="184" t="s">
        <v>1657</v>
      </c>
      <c r="C108" s="294" t="s">
        <v>1658</v>
      </c>
      <c r="D108" s="260"/>
      <c r="E108" s="272" t="s">
        <v>1659</v>
      </c>
      <c r="F108" s="295" t="s">
        <v>1660</v>
      </c>
      <c r="G108" s="296" t="s">
        <v>1661</v>
      </c>
      <c r="H108" s="272" t="s">
        <v>1662</v>
      </c>
      <c r="I108" s="217"/>
      <c r="J108" s="260"/>
      <c r="K108" s="217" t="s">
        <v>1663</v>
      </c>
      <c r="L108" s="154" t="s">
        <v>1663</v>
      </c>
      <c r="M108" s="161" t="s">
        <v>1664</v>
      </c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</row>
    <row r="109">
      <c r="A109" s="185" t="s">
        <v>1665</v>
      </c>
      <c r="B109" s="184" t="s">
        <v>1666</v>
      </c>
      <c r="C109" s="294">
        <v>317.0</v>
      </c>
      <c r="D109" s="217" t="s">
        <v>1667</v>
      </c>
      <c r="E109" s="297" t="s">
        <v>1029</v>
      </c>
      <c r="F109" s="298">
        <v>8.9287628828E10</v>
      </c>
      <c r="G109" s="299" t="s">
        <v>1668</v>
      </c>
      <c r="H109" s="272" t="s">
        <v>1669</v>
      </c>
      <c r="I109" s="260"/>
      <c r="J109" s="217" t="s">
        <v>1670</v>
      </c>
      <c r="K109" s="217" t="s">
        <v>1671</v>
      </c>
      <c r="L109" s="150" t="s">
        <v>1672</v>
      </c>
      <c r="M109" s="155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55"/>
    </row>
    <row r="110">
      <c r="A110" s="218" t="s">
        <v>1673</v>
      </c>
      <c r="B110" s="209" t="s">
        <v>1674</v>
      </c>
      <c r="C110" s="271">
        <v>203.0</v>
      </c>
      <c r="D110" s="211" t="s">
        <v>1675</v>
      </c>
      <c r="E110" s="211" t="s">
        <v>934</v>
      </c>
      <c r="F110" s="277">
        <v>8.962935278E10</v>
      </c>
      <c r="G110" s="273" t="s">
        <v>1676</v>
      </c>
      <c r="H110" s="291" t="s">
        <v>1677</v>
      </c>
      <c r="I110" s="216" t="s">
        <v>1678</v>
      </c>
      <c r="J110" s="216" t="s">
        <v>1679</v>
      </c>
      <c r="K110" s="286" t="s">
        <v>1680</v>
      </c>
      <c r="L110" s="191"/>
      <c r="M110" s="155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55"/>
    </row>
    <row r="111">
      <c r="A111" s="218" t="s">
        <v>1681</v>
      </c>
      <c r="B111" s="217"/>
      <c r="C111" s="271">
        <v>320.0</v>
      </c>
      <c r="D111" s="211" t="s">
        <v>1682</v>
      </c>
      <c r="E111" s="217" t="s">
        <v>1683</v>
      </c>
      <c r="F111" s="289">
        <v>8.9175425525E10</v>
      </c>
      <c r="G111" s="261" t="s">
        <v>1684</v>
      </c>
      <c r="H111" s="290" t="s">
        <v>1685</v>
      </c>
      <c r="I111" s="286" t="s">
        <v>1686</v>
      </c>
      <c r="J111" s="286" t="s">
        <v>1687</v>
      </c>
      <c r="K111" s="286" t="s">
        <v>1687</v>
      </c>
      <c r="L111" s="154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</row>
    <row r="112">
      <c r="A112" s="206" t="s">
        <v>1688</v>
      </c>
      <c r="B112" s="209" t="s">
        <v>1689</v>
      </c>
      <c r="C112" s="210">
        <v>212.0</v>
      </c>
      <c r="D112" s="211" t="s">
        <v>1690</v>
      </c>
      <c r="E112" s="211" t="s">
        <v>1029</v>
      </c>
      <c r="F112" s="289">
        <v>8.977925347E10</v>
      </c>
      <c r="G112" s="273" t="s">
        <v>1691</v>
      </c>
      <c r="H112" s="287" t="s">
        <v>1692</v>
      </c>
      <c r="I112" s="211"/>
      <c r="J112" s="260"/>
      <c r="K112" s="260"/>
      <c r="L112" s="191"/>
      <c r="M112" s="194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55"/>
    </row>
    <row r="113">
      <c r="A113" s="185" t="s">
        <v>1693</v>
      </c>
      <c r="B113" s="272" t="s">
        <v>1694</v>
      </c>
      <c r="C113" s="295">
        <v>427.0</v>
      </c>
      <c r="D113" s="211" t="s">
        <v>1695</v>
      </c>
      <c r="E113" s="272" t="s">
        <v>1257</v>
      </c>
      <c r="F113" s="295" t="s">
        <v>1696</v>
      </c>
      <c r="G113" s="296" t="s">
        <v>1697</v>
      </c>
      <c r="H113" s="272" t="s">
        <v>1698</v>
      </c>
      <c r="I113" s="260"/>
      <c r="J113" s="260"/>
      <c r="K113" s="260"/>
      <c r="L113" s="191"/>
      <c r="M113" s="276" t="s">
        <v>1699</v>
      </c>
      <c r="N113" s="194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</row>
    <row r="114">
      <c r="A114" s="232" t="s">
        <v>1700</v>
      </c>
      <c r="B114" s="265" t="str">
        <f t="shared" ref="B114:B116" si="1">LEFT(A114,FIND(CHAR(160),SUBSTITUTE(A114," ",CHAR(160),2)) - 1)</f>
        <v>Карнаухов Михаил</v>
      </c>
      <c r="C114" s="300">
        <v>104.0</v>
      </c>
      <c r="D114" s="265" t="s">
        <v>1701</v>
      </c>
      <c r="E114" s="265" t="str">
        <f t="array" ref="E114">IF(ISERROR(MATCH(1,INDEX(('Списки блоков'!$B$2:$B1010=B114)*(ROW('Списки блоков'!$B$2:$B1010)&lt;&gt;ROW('Списки блоков'!$B$3)),0),0)),"","БДНС,")
&amp;IF(ISERROR(MATCH(1,INDEX(('Списки блоков'!$C$2:$C1010=B114)*(ROW('Списки блоков'!$C$2:$C1010)&lt;&gt;ROW('Списки блоков'!$C$3)),0),0)),"","Видеолаба,")
&amp;IF(ISERROR(MATCH(1,INDEX(('Списки блоков'!$D$2:$D1010=B114)*(ROW('Списки блоков'!$D$2:$D1010)&lt;&gt;ROW('Списки блоков'!$D$3)),0),0)),"","Декораторы,")
&amp;IF(ISERROR(MATCH(1,INDEX(('Списки блоков'!$E$2:$E1010=B114)*(ROW('Списки блоков'!$E$2:$E1010)&lt;&gt;ROW('Списки блоков'!$E$3)),0),0)),"","Дизайн,")
&amp;IF(ISERROR(MATCH(1,INDEX(('Списки блоков'!$F$2:$F1010=B114)*(ROW('Списки блоков'!$F$2:$F1010)&lt;&gt;ROW('Списки блоков'!$F$3)),0),0)),"","Досуг,")
&amp;IF(ISERROR(MATCH(1,INDEX(('Списки блоков'!$G$2:$G1010=B114)*(ROW('Списки блоков'!$G$2:$G1010)&lt;&gt;ROW('Списки блоков'!$G$3)),0),0)),"","Закупки,")
&amp;IF(ISERROR(MATCH(1,INDEX(('Списки блоков'!$H$2:$H1010=B114)*(ROW('Списки блоков'!$H$2:$H1010)&lt;&gt;ROW('Списки блоков'!$H$3)),0),0)),"","ИнфоБлок,")
&amp;IF(ISERROR(MATCH(1,INDEX(('Списки блоков'!$I$2:$I1010=B114)*(ROW('Списки блоков'!$I$2:$I1010)&lt;&gt;ROW('Списки блоков'!$I$3)),0),0)),"","КГ,")
&amp;IF(ISERROR(MATCH(1,INDEX(('Списки блоков'!$J$2:$J1010=B114)*(ROW('Списки блоков'!$J$2:$J1010)&lt;&gt;ROW('Списки блоков'!$J$3)),0),0)),"","МП,")
&amp;IF(ISERROR(MATCH(1,INDEX(('Списки блоков'!$K$2:$K1010=B114)*(ROW('Списки блоков'!$K$2:$K1010)&lt;&gt;ROW('Списки блоков'!$K$3)),0),0)),"","Профорги,")
&amp;IF(ISERROR(MATCH(1,INDEX(('Списки блоков'!$L$2:$L1010=B114)*(ROW('Списки блоков'!$L$2:$L1010)&lt;&gt;ROW('Списки блоков'!$L$3)),0),0)),"","Спонсоры,")
&amp;IF(ISERROR(MATCH(1,INDEX(('Списки блоков'!$M$2:$M1010=B114)*(ROW('Списки блоков'!$M$2:$M1010)&lt;&gt;ROW('Списки блоков'!$M$3)),0),0)),"","Склад,")
&amp;IF(ISERROR(MATCH(1,INDEX(('Списки блоков'!$N$2:$N1010=B114)*(ROW('Списки блоков'!$N$2:$N1010)&lt;&gt;ROW('Списки блоков'!$N$3)),0),0)),"","Сценаристы,")
&amp;IF(ISERROR(MATCH(1,INDEX(('Списки блоков'!$O$2:$O1010=B114)*(ROW('Списки блоков'!$O$2:$O1010)&lt;&gt;ROW('Списки блоков'!$O$3)),0),0)),"","Техники,")
&amp;IF(ISERROR(MATCH(1,INDEX(('Списки блоков'!$P$2:$P1010=B114)*(ROW('Списки блоков'!$P$2:$P1010)&lt;&gt;ROW('Списки блоков'!$P$3)),0),0)),"","УРС,")
&amp;IF(ISERROR(MATCH(1,INDEX(('Списки блоков'!$Q$2:$Q1010=B114)*(ROW('Списки блоков'!$Q$2:$Q1010)&lt;&gt;ROW('Списки блоков'!$Q$3)),0),0)),"","Фото,")
&amp;IF(ISERROR(MATCH(1,INDEX((#REF!=B114)*(ROW(#REF!)&lt;&gt;ROW(#REF!)),0),0)),"","ЭкоБлок,")
&amp;IF(ISERROR(MATCH(1,INDEX(('Списки блоков'!$R$2:$R1010=B114)*(ROW('Списки блоков'!$R$2:$R1010)&lt;&gt;ROW('Списки блоков'!$R$3)),0),0)),"","HR,")
&amp;IF(ISERROR(MATCH(1,INDEX(('Списки блоков'!$S$2:$S1010=B114)*(ROW('Списки блоков'!$S$2:$S1010)&lt;&gt;ROW('Списки блоков'!$S$3)),0),0)),"","Instagram,")
&amp;IF(ISERROR(MATCH(1,INDEX(('Списки блоков'!$T$2:$T1010=B114)*(ROW('Списки блоков'!$T$2:$T1010)&lt;&gt;ROW('Списки блоков'!$T$3)),0),0)),"","Zachёt,")
&amp;IF(ISERROR(MATCH(1,INDEX(('Списки блоков'!$U$2:$U1010=B114)*(ROW('Списки блоков'!$U$2:$U1010)&lt;&gt;ROW('Списки блоков'!$U$3)),0),0)),"","IT,")
&amp;IF(ISERROR(MATCH(1,INDEX(('Списки блоков'!$V$2:$V1010=B114)*(ROW('Списки блоков'!$V$2:$V1010)&lt;&gt;ROW('Списки блоков'!$V$3)),0),0)),"","ДК,")
</f>
        <v/>
      </c>
      <c r="F114" s="301">
        <v>8.9829717037E10</v>
      </c>
      <c r="G114" s="302" t="s">
        <v>1702</v>
      </c>
      <c r="H114" s="265" t="s">
        <v>1703</v>
      </c>
      <c r="I114" s="265" t="s">
        <v>1704</v>
      </c>
      <c r="J114" s="303" t="s">
        <v>22</v>
      </c>
      <c r="K114" s="270"/>
      <c r="L114" s="168"/>
      <c r="AA114" s="155"/>
      <c r="AB114" s="155"/>
      <c r="AC114" s="155"/>
      <c r="AD114" s="155"/>
      <c r="AE114" s="155"/>
    </row>
    <row r="115">
      <c r="A115" s="165" t="s">
        <v>1705</v>
      </c>
      <c r="B115" s="163" t="str">
        <f t="shared" si="1"/>
        <v>Карпинская Анна</v>
      </c>
      <c r="C115" s="164">
        <v>530.0</v>
      </c>
      <c r="D115" s="165" t="s">
        <v>1706</v>
      </c>
      <c r="E115" s="163" t="str">
        <f t="array" ref="E115">IF(ISERROR(MATCH(1,INDEX(('Списки блоков'!$B$2:$B1010=B115)*(ROW('Списки блоков'!$B$2:$B1010)&lt;&gt;ROW('Списки блоков'!$B$3)),0),0)),"","БДНС,")
&amp;IF(ISERROR(MATCH(1,INDEX(('Списки блоков'!$C$2:$C1010=B115)*(ROW('Списки блоков'!$C$2:$C1010)&lt;&gt;ROW('Списки блоков'!$C$3)),0),0)),"","Видеолаба,")
&amp;IF(ISERROR(MATCH(1,INDEX(('Списки блоков'!$D$2:$D1010=B115)*(ROW('Списки блоков'!$D$2:$D1010)&lt;&gt;ROW('Списки блоков'!$D$3)),0),0)),"","Декораторы,")
&amp;IF(ISERROR(MATCH(1,INDEX(('Списки блоков'!$E$2:$E1010=B115)*(ROW('Списки блоков'!$E$2:$E1010)&lt;&gt;ROW('Списки блоков'!$E$3)),0),0)),"","Дизайн,")
&amp;IF(ISERROR(MATCH(1,INDEX(('Списки блоков'!$F$2:$F1010=B115)*(ROW('Списки блоков'!$F$2:$F1010)&lt;&gt;ROW('Списки блоков'!$F$3)),0),0)),"","Досуг,")
&amp;IF(ISERROR(MATCH(1,INDEX(('Списки блоков'!$G$2:$G1010=B115)*(ROW('Списки блоков'!$G$2:$G1010)&lt;&gt;ROW('Списки блоков'!$G$3)),0),0)),"","Закупки,")
&amp;IF(ISERROR(MATCH(1,INDEX(('Списки блоков'!$H$2:$H1010=B115)*(ROW('Списки блоков'!$H$2:$H1010)&lt;&gt;ROW('Списки блоков'!$H$3)),0),0)),"","ИнфоБлок,")
&amp;IF(ISERROR(MATCH(1,INDEX(('Списки блоков'!$I$2:$I1010=B115)*(ROW('Списки блоков'!$I$2:$I1010)&lt;&gt;ROW('Списки блоков'!$I$3)),0),0)),"","КГ,")
&amp;IF(ISERROR(MATCH(1,INDEX(('Списки блоков'!$J$2:$J1010=B115)*(ROW('Списки блоков'!$J$2:$J1010)&lt;&gt;ROW('Списки блоков'!$J$3)),0),0)),"","МП,")
&amp;IF(ISERROR(MATCH(1,INDEX(('Списки блоков'!$K$2:$K1010=B115)*(ROW('Списки блоков'!$K$2:$K1010)&lt;&gt;ROW('Списки блоков'!$K$3)),0),0)),"","Профорги,")
&amp;IF(ISERROR(MATCH(1,INDEX(('Списки блоков'!$L$2:$L1010=B115)*(ROW('Списки блоков'!$L$2:$L1010)&lt;&gt;ROW('Списки блоков'!$L$3)),0),0)),"","Спонсоры,")
&amp;IF(ISERROR(MATCH(1,INDEX(('Списки блоков'!$M$2:$M1010=B115)*(ROW('Списки блоков'!$M$2:$M1010)&lt;&gt;ROW('Списки блоков'!$M$3)),0),0)),"","Склад,")
&amp;IF(ISERROR(MATCH(1,INDEX(('Списки блоков'!$N$2:$N1010=B115)*(ROW('Списки блоков'!$N$2:$N1010)&lt;&gt;ROW('Списки блоков'!$N$3)),0),0)),"","Сценаристы,")
&amp;IF(ISERROR(MATCH(1,INDEX(('Списки блоков'!$O$2:$O1010=B115)*(ROW('Списки блоков'!$O$2:$O1010)&lt;&gt;ROW('Списки блоков'!$O$3)),0),0)),"","Техники,")
&amp;IF(ISERROR(MATCH(1,INDEX(('Списки блоков'!$P$2:$P1010=B115)*(ROW('Списки блоков'!$P$2:$P1010)&lt;&gt;ROW('Списки блоков'!$P$3)),0),0)),"","УРС,")
&amp;IF(ISERROR(MATCH(1,INDEX(('Списки блоков'!$Q$2:$Q1010=B115)*(ROW('Списки блоков'!$Q$2:$Q1010)&lt;&gt;ROW('Списки блоков'!$Q$3)),0),0)),"","Фото,")
&amp;IF(ISERROR(MATCH(1,INDEX((#REF!=B115)*(ROW(#REF!)&lt;&gt;ROW(#REF!)),0),0)),"","ЭкоБлок,")
&amp;IF(ISERROR(MATCH(1,INDEX(('Списки блоков'!$R$2:$R1010=B115)*(ROW('Списки блоков'!$R$2:$R1010)&lt;&gt;ROW('Списки блоков'!$R$3)),0),0)),"","HR,")
&amp;IF(ISERROR(MATCH(1,INDEX(('Списки блоков'!$S$2:$S1010=B115)*(ROW('Списки блоков'!$S$2:$S1010)&lt;&gt;ROW('Списки блоков'!$S$3)),0),0)),"","Instagram,")
&amp;IF(ISERROR(MATCH(1,INDEX(('Списки блоков'!$T$2:$T1010=B115)*(ROW('Списки блоков'!$T$2:$T1010)&lt;&gt;ROW('Списки блоков'!$T$3)),0),0)),"","Zachёt,")
&amp;IF(ISERROR(MATCH(1,INDEX(('Списки блоков'!$U$2:$U1010=B115)*(ROW('Списки блоков'!$U$2:$U1010)&lt;&gt;ROW('Списки блоков'!$U$3)),0),0)),"","IT,")
&amp;IF(ISERROR(MATCH(1,INDEX(('Списки блоков'!$V$2:$V1010=B115)*(ROW('Списки блоков'!$V$2:$V1010)&lt;&gt;ROW('Списки блоков'!$V$3)),0),0)),"","ДК,")
</f>
        <v/>
      </c>
      <c r="F115" s="304">
        <v>8.9959034216E10</v>
      </c>
      <c r="G115" s="167" t="s">
        <v>1707</v>
      </c>
      <c r="H115" s="167" t="s">
        <v>1708</v>
      </c>
      <c r="I115" s="165" t="s">
        <v>1709</v>
      </c>
      <c r="J115" s="162" t="s">
        <v>22</v>
      </c>
      <c r="K115" s="168"/>
      <c r="L115" s="168"/>
      <c r="AA115" s="155"/>
      <c r="AB115" s="155"/>
      <c r="AC115" s="155"/>
      <c r="AD115" s="155"/>
      <c r="AE115" s="155"/>
    </row>
    <row r="116">
      <c r="A116" s="163" t="s">
        <v>1710</v>
      </c>
      <c r="B116" s="265" t="str">
        <f t="shared" si="1"/>
        <v>Ким Роман</v>
      </c>
      <c r="C116" s="300">
        <v>517.0</v>
      </c>
      <c r="D116" s="265" t="s">
        <v>1711</v>
      </c>
      <c r="E116" s="265" t="str">
        <f t="array" ref="E116">IF(ISERROR(MATCH(1,INDEX(('Списки блоков'!$B$2:$B1010=B116)*(ROW('Списки блоков'!$B$2:$B1010)&lt;&gt;ROW('Списки блоков'!$B$3)),0),0)),"","БДНС,")
&amp;IF(ISERROR(MATCH(1,INDEX(('Списки блоков'!$C$2:$C1010=B116)*(ROW('Списки блоков'!$C$2:$C1010)&lt;&gt;ROW('Списки блоков'!$C$3)),0),0)),"","Видеолаба,")
&amp;IF(ISERROR(MATCH(1,INDEX(('Списки блоков'!$D$2:$D1010=B116)*(ROW('Списки блоков'!$D$2:$D1010)&lt;&gt;ROW('Списки блоков'!$D$3)),0),0)),"","Декораторы,")
&amp;IF(ISERROR(MATCH(1,INDEX(('Списки блоков'!$E$2:$E1010=B116)*(ROW('Списки блоков'!$E$2:$E1010)&lt;&gt;ROW('Списки блоков'!$E$3)),0),0)),"","Дизайн,")
&amp;IF(ISERROR(MATCH(1,INDEX(('Списки блоков'!$F$2:$F1010=B116)*(ROW('Списки блоков'!$F$2:$F1010)&lt;&gt;ROW('Списки блоков'!$F$3)),0),0)),"","Досуг,")
&amp;IF(ISERROR(MATCH(1,INDEX(('Списки блоков'!$G$2:$G1010=B116)*(ROW('Списки блоков'!$G$2:$G1010)&lt;&gt;ROW('Списки блоков'!$G$3)),0),0)),"","Закупки,")
&amp;IF(ISERROR(MATCH(1,INDEX(('Списки блоков'!$H$2:$H1010=B116)*(ROW('Списки блоков'!$H$2:$H1010)&lt;&gt;ROW('Списки блоков'!$H$3)),0),0)),"","ИнфоБлок,")
&amp;IF(ISERROR(MATCH(1,INDEX(('Списки блоков'!$I$2:$I1010=B116)*(ROW('Списки блоков'!$I$2:$I1010)&lt;&gt;ROW('Списки блоков'!$I$3)),0),0)),"","КГ,")
&amp;IF(ISERROR(MATCH(1,INDEX(('Списки блоков'!$J$2:$J1010=B116)*(ROW('Списки блоков'!$J$2:$J1010)&lt;&gt;ROW('Списки блоков'!$J$3)),0),0)),"","МП,")
&amp;IF(ISERROR(MATCH(1,INDEX(('Списки блоков'!$K$2:$K1010=B116)*(ROW('Списки блоков'!$K$2:$K1010)&lt;&gt;ROW('Списки блоков'!$K$3)),0),0)),"","Профорги,")
&amp;IF(ISERROR(MATCH(1,INDEX(('Списки блоков'!$L$2:$L1010=B116)*(ROW('Списки блоков'!$L$2:$L1010)&lt;&gt;ROW('Списки блоков'!$L$3)),0),0)),"","Спонсоры,")
&amp;IF(ISERROR(MATCH(1,INDEX(('Списки блоков'!$M$2:$M1010=B116)*(ROW('Списки блоков'!$M$2:$M1010)&lt;&gt;ROW('Списки блоков'!$M$3)),0),0)),"","Склад,")
&amp;IF(ISERROR(MATCH(1,INDEX(('Списки блоков'!$N$2:$N1010=B116)*(ROW('Списки блоков'!$N$2:$N1010)&lt;&gt;ROW('Списки блоков'!$N$3)),0),0)),"","Сценаристы,")
&amp;IF(ISERROR(MATCH(1,INDEX(('Списки блоков'!$O$2:$O1010=B116)*(ROW('Списки блоков'!$O$2:$O1010)&lt;&gt;ROW('Списки блоков'!$O$3)),0),0)),"","Техники,")
&amp;IF(ISERROR(MATCH(1,INDEX(('Списки блоков'!$P$2:$P1010=B116)*(ROW('Списки блоков'!$P$2:$P1010)&lt;&gt;ROW('Списки блоков'!$P$3)),0),0)),"","УРС,")
&amp;IF(ISERROR(MATCH(1,INDEX(('Списки блоков'!$Q$2:$Q1010=B116)*(ROW('Списки блоков'!$Q$2:$Q1010)&lt;&gt;ROW('Списки блоков'!$Q$3)),0),0)),"","Фото,")
&amp;IF(ISERROR(MATCH(1,INDEX((#REF!=B116)*(ROW(#REF!)&lt;&gt;ROW(#REF!)),0),0)),"","ЭкоБлок,")
&amp;IF(ISERROR(MATCH(1,INDEX(('Списки блоков'!$R$2:$R1010=B116)*(ROW('Списки блоков'!$R$2:$R1010)&lt;&gt;ROW('Списки блоков'!$R$3)),0),0)),"","HR,")
&amp;IF(ISERROR(MATCH(1,INDEX(('Списки блоков'!$S$2:$S1010=B116)*(ROW('Списки блоков'!$S$2:$S1010)&lt;&gt;ROW('Списки блоков'!$S$3)),0),0)),"","Instagram,")
&amp;IF(ISERROR(MATCH(1,INDEX(('Списки блоков'!$T$2:$T1010=B116)*(ROW('Списки блоков'!$T$2:$T1010)&lt;&gt;ROW('Списки блоков'!$T$3)),0),0)),"","Zachёt,")
&amp;IF(ISERROR(MATCH(1,INDEX(('Списки блоков'!$U$2:$U1010=B116)*(ROW('Списки блоков'!$U$2:$U1010)&lt;&gt;ROW('Списки блоков'!$U$3)),0),0)),"","IT,")
&amp;IF(ISERROR(MATCH(1,INDEX(('Списки блоков'!$V$2:$V1010=B116)*(ROW('Списки блоков'!$V$2:$V1010)&lt;&gt;ROW('Списки блоков'!$V$3)),0),0)),"","ДК,")
</f>
        <v/>
      </c>
      <c r="F116" s="301">
        <v>8.9168785436E10</v>
      </c>
      <c r="G116" s="265" t="s">
        <v>1712</v>
      </c>
      <c r="H116" s="265" t="s">
        <v>1713</v>
      </c>
      <c r="I116" s="265" t="s">
        <v>1714</v>
      </c>
      <c r="J116" s="303" t="s">
        <v>22</v>
      </c>
      <c r="K116" s="270"/>
      <c r="L116" s="168"/>
      <c r="AA116" s="155"/>
      <c r="AB116" s="155"/>
      <c r="AC116" s="155"/>
      <c r="AD116" s="155"/>
      <c r="AE116" s="155"/>
    </row>
    <row r="117">
      <c r="A117" s="149" t="s">
        <v>1715</v>
      </c>
      <c r="B117" s="154"/>
      <c r="C117" s="151">
        <v>416.0</v>
      </c>
      <c r="D117" s="154" t="s">
        <v>1716</v>
      </c>
      <c r="E117" s="154" t="s">
        <v>1717</v>
      </c>
      <c r="F117" s="151">
        <v>8.9104513386E10</v>
      </c>
      <c r="G117" s="178" t="s">
        <v>1718</v>
      </c>
      <c r="H117" s="154" t="s">
        <v>1719</v>
      </c>
      <c r="I117" s="154" t="s">
        <v>1720</v>
      </c>
      <c r="J117" s="154" t="s">
        <v>1721</v>
      </c>
      <c r="K117" s="154" t="s">
        <v>1722</v>
      </c>
      <c r="L117" s="154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</row>
    <row r="118">
      <c r="A118" s="236" t="s">
        <v>1723</v>
      </c>
      <c r="B118" s="154"/>
      <c r="C118" s="151">
        <v>202.0</v>
      </c>
      <c r="D118" s="154" t="s">
        <v>1724</v>
      </c>
      <c r="E118" s="154" t="s">
        <v>1725</v>
      </c>
      <c r="F118" s="251">
        <v>8.9684467057E10</v>
      </c>
      <c r="G118" s="249" t="s">
        <v>1726</v>
      </c>
      <c r="H118" s="207" t="s">
        <v>1727</v>
      </c>
      <c r="I118" s="208" t="s">
        <v>1728</v>
      </c>
      <c r="J118" s="226">
        <v>8.9020957863E10</v>
      </c>
      <c r="K118" s="208" t="s">
        <v>1729</v>
      </c>
      <c r="L118" s="154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</row>
    <row r="119">
      <c r="A119" s="206" t="s">
        <v>1730</v>
      </c>
      <c r="B119" s="187" t="str">
        <f>LEFT(A119,FIND(CHAR(160),SUBSTITUTE(A119," ",CHAR(160),2)) - 1)</f>
        <v>Киселева Елизавета</v>
      </c>
      <c r="C119" s="186">
        <v>114.0</v>
      </c>
      <c r="D119" s="154"/>
      <c r="E119" s="180" t="s">
        <v>1731</v>
      </c>
      <c r="F119" s="181">
        <v>8.9264292239E10</v>
      </c>
      <c r="G119" s="159" t="s">
        <v>1732</v>
      </c>
      <c r="H119" s="180" t="s">
        <v>1733</v>
      </c>
      <c r="I119" s="154"/>
      <c r="J119" s="154"/>
      <c r="K119" s="154" t="s">
        <v>1734</v>
      </c>
      <c r="L119" s="154" t="s">
        <v>1735</v>
      </c>
      <c r="M119" s="155"/>
      <c r="N119" s="155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</row>
    <row r="120">
      <c r="A120" s="218" t="s">
        <v>1736</v>
      </c>
      <c r="B120" s="154"/>
      <c r="C120" s="151">
        <v>419.0</v>
      </c>
      <c r="D120" s="154" t="s">
        <v>670</v>
      </c>
      <c r="E120" s="154" t="s">
        <v>1737</v>
      </c>
      <c r="F120" s="251">
        <v>8.9175637886E10</v>
      </c>
      <c r="G120" s="249" t="s">
        <v>1738</v>
      </c>
      <c r="H120" s="207" t="s">
        <v>1739</v>
      </c>
      <c r="I120" s="208" t="s">
        <v>1740</v>
      </c>
      <c r="J120" s="226" t="s">
        <v>1741</v>
      </c>
      <c r="K120" s="208" t="s">
        <v>1742</v>
      </c>
      <c r="L120" s="154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</row>
    <row r="121">
      <c r="A121" s="149" t="s">
        <v>1736</v>
      </c>
      <c r="B121" s="154" t="s">
        <v>1743</v>
      </c>
      <c r="C121" s="151">
        <v>630.0</v>
      </c>
      <c r="D121" s="154" t="s">
        <v>1744</v>
      </c>
      <c r="E121" s="154" t="s">
        <v>1155</v>
      </c>
      <c r="F121" s="151">
        <v>8.9175637886E10</v>
      </c>
      <c r="G121" s="178" t="s">
        <v>1745</v>
      </c>
      <c r="H121" s="154" t="s">
        <v>1746</v>
      </c>
      <c r="I121" s="154"/>
      <c r="J121" s="154"/>
      <c r="K121" s="154" t="s">
        <v>1747</v>
      </c>
      <c r="L121" s="154" t="s">
        <v>1742</v>
      </c>
      <c r="M121" s="161"/>
      <c r="N121" s="161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</row>
    <row r="122">
      <c r="A122" s="232" t="s">
        <v>1748</v>
      </c>
      <c r="B122" s="163" t="str">
        <f>LEFT(A122,FIND(CHAR(160),SUBSTITUTE(A122," ",CHAR(160),2)) - 1)</f>
        <v>Кобылинский Михаил</v>
      </c>
      <c r="C122" s="233">
        <v>392.0</v>
      </c>
      <c r="D122" s="163" t="s">
        <v>1749</v>
      </c>
      <c r="E122" s="163" t="str">
        <f t="array" ref="E122">IF(ISERROR(MATCH(1,INDEX(('Списки блоков'!$B$2:$B1010=B122)*(ROW('Списки блоков'!$B$2:$B1010)&lt;&gt;ROW('Списки блоков'!$B$3)),0),0)),"","БДНС,")
&amp;IF(ISERROR(MATCH(1,INDEX(('Списки блоков'!$C$2:$C1010=B122)*(ROW('Списки блоков'!$C$2:$C1010)&lt;&gt;ROW('Списки блоков'!$C$3)),0),0)),"","Видеолаба,")
&amp;IF(ISERROR(MATCH(1,INDEX(('Списки блоков'!$D$2:$D1010=B122)*(ROW('Списки блоков'!$D$2:$D1010)&lt;&gt;ROW('Списки блоков'!$D$3)),0),0)),"","Декораторы,")
&amp;IF(ISERROR(MATCH(1,INDEX(('Списки блоков'!$E$2:$E1010=B122)*(ROW('Списки блоков'!$E$2:$E1010)&lt;&gt;ROW('Списки блоков'!$E$3)),0),0)),"","Дизайн,")
&amp;IF(ISERROR(MATCH(1,INDEX(('Списки блоков'!$F$2:$F1010=B122)*(ROW('Списки блоков'!$F$2:$F1010)&lt;&gt;ROW('Списки блоков'!$F$3)),0),0)),"","Досуг,")
&amp;IF(ISERROR(MATCH(1,INDEX(('Списки блоков'!$G$2:$G1010=B122)*(ROW('Списки блоков'!$G$2:$G1010)&lt;&gt;ROW('Списки блоков'!$G$3)),0),0)),"","Закупки,")
&amp;IF(ISERROR(MATCH(1,INDEX(('Списки блоков'!$H$2:$H1010=B122)*(ROW('Списки блоков'!$H$2:$H1010)&lt;&gt;ROW('Списки блоков'!$H$3)),0),0)),"","ИнфоБлок,")
&amp;IF(ISERROR(MATCH(1,INDEX(('Списки блоков'!$I$2:$I1010=B122)*(ROW('Списки блоков'!$I$2:$I1010)&lt;&gt;ROW('Списки блоков'!$I$3)),0),0)),"","КГ,")
&amp;IF(ISERROR(MATCH(1,INDEX(('Списки блоков'!$J$2:$J1010=B122)*(ROW('Списки блоков'!$J$2:$J1010)&lt;&gt;ROW('Списки блоков'!$J$3)),0),0)),"","МП,")
&amp;IF(ISERROR(MATCH(1,INDEX(('Списки блоков'!$K$2:$K1010=B122)*(ROW('Списки блоков'!$K$2:$K1010)&lt;&gt;ROW('Списки блоков'!$K$3)),0),0)),"","Профорги,")
&amp;IF(ISERROR(MATCH(1,INDEX(('Списки блоков'!$L$2:$L1010=B122)*(ROW('Списки блоков'!$L$2:$L1010)&lt;&gt;ROW('Списки блоков'!$L$3)),0),0)),"","Спонсоры,")
&amp;IF(ISERROR(MATCH(1,INDEX(('Списки блоков'!$M$2:$M1010=B122)*(ROW('Списки блоков'!$M$2:$M1010)&lt;&gt;ROW('Списки блоков'!$M$3)),0),0)),"","Склад,")
&amp;IF(ISERROR(MATCH(1,INDEX(('Списки блоков'!$N$2:$N1010=B122)*(ROW('Списки блоков'!$N$2:$N1010)&lt;&gt;ROW('Списки блоков'!$N$3)),0),0)),"","Сценаристы,")
&amp;IF(ISERROR(MATCH(1,INDEX(('Списки блоков'!$O$2:$O1010=B122)*(ROW('Списки блоков'!$O$2:$O1010)&lt;&gt;ROW('Списки блоков'!$O$3)),0),0)),"","Техники,")
&amp;IF(ISERROR(MATCH(1,INDEX(('Списки блоков'!$P$2:$P1010=B122)*(ROW('Списки блоков'!$P$2:$P1010)&lt;&gt;ROW('Списки блоков'!$P$3)),0),0)),"","УРС,")
&amp;IF(ISERROR(MATCH(1,INDEX(('Списки блоков'!$Q$2:$Q1010=B122)*(ROW('Списки блоков'!$Q$2:$Q1010)&lt;&gt;ROW('Списки блоков'!$Q$3)),0),0)),"","Фото,")
&amp;IF(ISERROR(MATCH(1,INDEX((#REF!=B122)*(ROW(#REF!)&lt;&gt;ROW(#REF!)),0),0)),"","ЭкоБлок,")
&amp;IF(ISERROR(MATCH(1,INDEX(('Списки блоков'!$R$2:$R1010=B122)*(ROW('Списки блоков'!$R$2:$R1010)&lt;&gt;ROW('Списки блоков'!$R$3)),0),0)),"","HR,")
&amp;IF(ISERROR(MATCH(1,INDEX(('Списки блоков'!$S$2:$S1010=B122)*(ROW('Списки блоков'!$S$2:$S1010)&lt;&gt;ROW('Списки блоков'!$S$3)),0),0)),"","Instagram,")
&amp;IF(ISERROR(MATCH(1,INDEX(('Списки блоков'!$T$2:$T1010=B122)*(ROW('Списки блоков'!$T$2:$T1010)&lt;&gt;ROW('Списки блоков'!$T$3)),0),0)),"","Zachёt,")
&amp;IF(ISERROR(MATCH(1,INDEX(('Списки блоков'!$U$2:$U1010=B122)*(ROW('Списки блоков'!$U$2:$U1010)&lt;&gt;ROW('Списки блоков'!$U$3)),0),0)),"","IT,")
&amp;IF(ISERROR(MATCH(1,INDEX(('Списки блоков'!$V$2:$V1010=B122)*(ROW('Списки блоков'!$V$2:$V1010)&lt;&gt;ROW('Списки блоков'!$V$3)),0),0)),"","ДК,")
</f>
        <v/>
      </c>
      <c r="F122" s="234">
        <v>8.9151617562E10</v>
      </c>
      <c r="G122" s="235" t="s">
        <v>1750</v>
      </c>
      <c r="H122" s="163" t="s">
        <v>1751</v>
      </c>
      <c r="I122" s="163" t="s">
        <v>1752</v>
      </c>
      <c r="J122" s="232" t="s">
        <v>22</v>
      </c>
      <c r="K122" s="168"/>
      <c r="L122" s="168"/>
      <c r="M122" s="168"/>
      <c r="AA122" s="155"/>
      <c r="AB122" s="155"/>
      <c r="AC122" s="155"/>
      <c r="AD122" s="155"/>
      <c r="AE122" s="155"/>
    </row>
    <row r="123">
      <c r="A123" s="218" t="s">
        <v>1753</v>
      </c>
      <c r="B123" s="152" t="s">
        <v>1754</v>
      </c>
      <c r="C123" s="151">
        <v>204.0</v>
      </c>
      <c r="D123" s="150" t="s">
        <v>1755</v>
      </c>
      <c r="E123" s="154" t="s">
        <v>1756</v>
      </c>
      <c r="F123" s="251">
        <v>8.9854779173E10</v>
      </c>
      <c r="G123" s="249" t="s">
        <v>1757</v>
      </c>
      <c r="H123" s="207" t="s">
        <v>1758</v>
      </c>
      <c r="I123" s="208" t="s">
        <v>1759</v>
      </c>
      <c r="J123" s="226" t="s">
        <v>1759</v>
      </c>
      <c r="K123" s="208" t="s">
        <v>1760</v>
      </c>
      <c r="L123" s="154"/>
      <c r="M123" s="154"/>
      <c r="N123" s="154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</row>
    <row r="124">
      <c r="A124" s="177" t="s">
        <v>1761</v>
      </c>
      <c r="B124" s="154"/>
      <c r="C124" s="151">
        <v>515.0</v>
      </c>
      <c r="D124" s="150" t="s">
        <v>1762</v>
      </c>
      <c r="E124" s="154" t="s">
        <v>1763</v>
      </c>
      <c r="F124" s="151">
        <v>8.9057391417E10</v>
      </c>
      <c r="G124" s="178" t="s">
        <v>1764</v>
      </c>
      <c r="H124" s="154" t="s">
        <v>1765</v>
      </c>
      <c r="I124" s="154" t="s">
        <v>1766</v>
      </c>
      <c r="J124" s="154" t="s">
        <v>1766</v>
      </c>
      <c r="K124" s="154" t="s">
        <v>1766</v>
      </c>
      <c r="L124" s="154"/>
      <c r="M124" s="154"/>
      <c r="N124" s="154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</row>
    <row r="125">
      <c r="A125" s="156" t="s">
        <v>1767</v>
      </c>
      <c r="B125" s="154" t="s">
        <v>1768</v>
      </c>
      <c r="C125" s="157">
        <v>103.0</v>
      </c>
      <c r="D125" s="154"/>
      <c r="E125" s="154" t="s">
        <v>1029</v>
      </c>
      <c r="F125" s="160" t="s">
        <v>1769</v>
      </c>
      <c r="G125" s="159" t="s">
        <v>1770</v>
      </c>
      <c r="H125" s="160" t="s">
        <v>1771</v>
      </c>
      <c r="I125" s="154"/>
      <c r="J125" s="154"/>
      <c r="K125" s="154"/>
      <c r="L125" s="154"/>
      <c r="M125" s="150"/>
      <c r="N125" s="150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</row>
    <row r="126">
      <c r="A126" s="185" t="s">
        <v>1772</v>
      </c>
      <c r="B126" s="187" t="s">
        <v>1772</v>
      </c>
      <c r="C126" s="191"/>
      <c r="D126" s="150" t="s">
        <v>1773</v>
      </c>
      <c r="E126" s="191" t="s">
        <v>1029</v>
      </c>
      <c r="F126" s="251">
        <v>8.9096759402E10</v>
      </c>
      <c r="G126" s="198" t="s">
        <v>1774</v>
      </c>
      <c r="H126" s="249" t="s">
        <v>1775</v>
      </c>
      <c r="I126" s="191"/>
      <c r="J126" s="191"/>
      <c r="K126" s="150" t="s">
        <v>1776</v>
      </c>
      <c r="L126" s="200" t="s">
        <v>1776</v>
      </c>
      <c r="M126" s="191"/>
      <c r="N126" s="19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55"/>
    </row>
    <row r="127">
      <c r="A127" s="218" t="s">
        <v>1777</v>
      </c>
      <c r="B127" s="154"/>
      <c r="C127" s="151">
        <v>412.0</v>
      </c>
      <c r="D127" s="150" t="s">
        <v>1773</v>
      </c>
      <c r="E127" s="154" t="s">
        <v>745</v>
      </c>
      <c r="F127" s="251">
        <v>8.9096759402E10</v>
      </c>
      <c r="G127" s="178" t="s">
        <v>1774</v>
      </c>
      <c r="H127" s="207" t="s">
        <v>1775</v>
      </c>
      <c r="I127" s="208" t="s">
        <v>1778</v>
      </c>
      <c r="J127" s="191" t="s">
        <v>1776</v>
      </c>
      <c r="K127" s="208" t="s">
        <v>1776</v>
      </c>
      <c r="L127" s="154"/>
      <c r="M127" s="154"/>
      <c r="N127" s="154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</row>
    <row r="128">
      <c r="A128" s="156" t="s">
        <v>1779</v>
      </c>
      <c r="B128" s="154" t="s">
        <v>1780</v>
      </c>
      <c r="C128" s="157">
        <v>118.0</v>
      </c>
      <c r="D128" s="154"/>
      <c r="E128" s="154" t="s">
        <v>1317</v>
      </c>
      <c r="F128" s="158">
        <v>8.9190182429E10</v>
      </c>
      <c r="G128" s="159" t="s">
        <v>1781</v>
      </c>
      <c r="H128" s="160" t="s">
        <v>1782</v>
      </c>
      <c r="I128" s="154"/>
      <c r="J128" s="154"/>
      <c r="K128" s="154"/>
      <c r="L128" s="154"/>
      <c r="M128" s="150"/>
      <c r="N128" s="150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</row>
    <row r="129">
      <c r="A129" s="206" t="s">
        <v>1783</v>
      </c>
      <c r="B129" s="150" t="s">
        <v>1783</v>
      </c>
      <c r="C129" s="197">
        <v>103.0</v>
      </c>
      <c r="D129" s="150" t="s">
        <v>50</v>
      </c>
      <c r="E129" s="150" t="s">
        <v>1029</v>
      </c>
      <c r="F129" s="151">
        <v>7.9164906667E10</v>
      </c>
      <c r="G129" s="153" t="s">
        <v>1784</v>
      </c>
      <c r="H129" s="249" t="s">
        <v>1785</v>
      </c>
      <c r="I129" s="154"/>
      <c r="J129" s="154"/>
      <c r="K129" s="154" t="s">
        <v>1786</v>
      </c>
      <c r="L129" s="154"/>
      <c r="M129" s="154"/>
      <c r="N129" s="150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</row>
    <row r="130">
      <c r="A130" s="258" t="s">
        <v>1787</v>
      </c>
      <c r="B130" s="150" t="s">
        <v>1788</v>
      </c>
      <c r="C130" s="197">
        <v>530.0</v>
      </c>
      <c r="D130" s="150" t="s">
        <v>670</v>
      </c>
      <c r="E130" s="191" t="s">
        <v>1029</v>
      </c>
      <c r="F130" s="197">
        <v>8.9174451286E10</v>
      </c>
      <c r="G130" s="198" t="s">
        <v>1789</v>
      </c>
      <c r="H130" s="150" t="s">
        <v>1790</v>
      </c>
      <c r="I130" s="191"/>
      <c r="J130" s="150" t="s">
        <v>1791</v>
      </c>
      <c r="K130" s="150" t="s">
        <v>1792</v>
      </c>
      <c r="L130" s="150" t="s">
        <v>1792</v>
      </c>
      <c r="M130" s="150" t="s">
        <v>1793</v>
      </c>
      <c r="N130" s="19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55"/>
    </row>
    <row r="131">
      <c r="A131" s="165" t="s">
        <v>1794</v>
      </c>
      <c r="B131" s="163" t="str">
        <f>LEFT(A131,FIND(CHAR(160),SUBSTITUTE(A131," ",CHAR(160),2)) - 1)</f>
        <v>Конюхова Мария</v>
      </c>
      <c r="C131" s="164">
        <v>316.0</v>
      </c>
      <c r="D131" s="165" t="s">
        <v>1795</v>
      </c>
      <c r="E131" s="163" t="str">
        <f t="array" ref="E131">IF(ISERROR(MATCH(1,INDEX(('Списки блоков'!$B$2:$B1010=B131)*(ROW('Списки блоков'!$B$2:$B1010)&lt;&gt;ROW('Списки блоков'!$B$3)),0),0)),"","БДНС,")
&amp;IF(ISERROR(MATCH(1,INDEX(('Списки блоков'!$C$2:$C1010=B131)*(ROW('Списки блоков'!$C$2:$C1010)&lt;&gt;ROW('Списки блоков'!$C$3)),0),0)),"","Видеолаба,")
&amp;IF(ISERROR(MATCH(1,INDEX(('Списки блоков'!$D$2:$D1010=B131)*(ROW('Списки блоков'!$D$2:$D1010)&lt;&gt;ROW('Списки блоков'!$D$3)),0),0)),"","Декораторы,")
&amp;IF(ISERROR(MATCH(1,INDEX(('Списки блоков'!$E$2:$E1010=B131)*(ROW('Списки блоков'!$E$2:$E1010)&lt;&gt;ROW('Списки блоков'!$E$3)),0),0)),"","Дизайн,")
&amp;IF(ISERROR(MATCH(1,INDEX(('Списки блоков'!$F$2:$F1010=B131)*(ROW('Списки блоков'!$F$2:$F1010)&lt;&gt;ROW('Списки блоков'!$F$3)),0),0)),"","Досуг,")
&amp;IF(ISERROR(MATCH(1,INDEX(('Списки блоков'!$G$2:$G1010=B131)*(ROW('Списки блоков'!$G$2:$G1010)&lt;&gt;ROW('Списки блоков'!$G$3)),0),0)),"","Закупки,")
&amp;IF(ISERROR(MATCH(1,INDEX(('Списки блоков'!$H$2:$H1010=B131)*(ROW('Списки блоков'!$H$2:$H1010)&lt;&gt;ROW('Списки блоков'!$H$3)),0),0)),"","ИнфоБлок,")
&amp;IF(ISERROR(MATCH(1,INDEX(('Списки блоков'!$I$2:$I1010=B131)*(ROW('Списки блоков'!$I$2:$I1010)&lt;&gt;ROW('Списки блоков'!$I$3)),0),0)),"","КГ,")
&amp;IF(ISERROR(MATCH(1,INDEX(('Списки блоков'!$J$2:$J1010=B131)*(ROW('Списки блоков'!$J$2:$J1010)&lt;&gt;ROW('Списки блоков'!$J$3)),0),0)),"","МП,")
&amp;IF(ISERROR(MATCH(1,INDEX(('Списки блоков'!$K$2:$K1010=B131)*(ROW('Списки блоков'!$K$2:$K1010)&lt;&gt;ROW('Списки блоков'!$K$3)),0),0)),"","Профорги,")
&amp;IF(ISERROR(MATCH(1,INDEX(('Списки блоков'!$L$2:$L1010=B131)*(ROW('Списки блоков'!$L$2:$L1010)&lt;&gt;ROW('Списки блоков'!$L$3)),0),0)),"","Спонсоры,")
&amp;IF(ISERROR(MATCH(1,INDEX(('Списки блоков'!$M$2:$M1010=B131)*(ROW('Списки блоков'!$M$2:$M1010)&lt;&gt;ROW('Списки блоков'!$M$3)),0),0)),"","Склад,")
&amp;IF(ISERROR(MATCH(1,INDEX(('Списки блоков'!$N$2:$N1010=B131)*(ROW('Списки блоков'!$N$2:$N1010)&lt;&gt;ROW('Списки блоков'!$N$3)),0),0)),"","Сценаристы,")
&amp;IF(ISERROR(MATCH(1,INDEX(('Списки блоков'!$O$2:$O1010=B131)*(ROW('Списки блоков'!$O$2:$O1010)&lt;&gt;ROW('Списки блоков'!$O$3)),0),0)),"","Техники,")
&amp;IF(ISERROR(MATCH(1,INDEX(('Списки блоков'!$P$2:$P1010=B131)*(ROW('Списки блоков'!$P$2:$P1010)&lt;&gt;ROW('Списки блоков'!$P$3)),0),0)),"","УРС,")
&amp;IF(ISERROR(MATCH(1,INDEX(('Списки блоков'!$Q$2:$Q1010=B131)*(ROW('Списки блоков'!$Q$2:$Q1010)&lt;&gt;ROW('Списки блоков'!$Q$3)),0),0)),"","Фото,")
&amp;IF(ISERROR(MATCH(1,INDEX((#REF!=B131)*(ROW(#REF!)&lt;&gt;ROW(#REF!)),0),0)),"","ЭкоБлок,")
&amp;IF(ISERROR(MATCH(1,INDEX(('Списки блоков'!$R$2:$R1010=B131)*(ROW('Списки блоков'!$R$2:$R1010)&lt;&gt;ROW('Списки блоков'!$R$3)),0),0)),"","HR,")
&amp;IF(ISERROR(MATCH(1,INDEX(('Списки блоков'!$S$2:$S1010=B131)*(ROW('Списки блоков'!$S$2:$S1010)&lt;&gt;ROW('Списки блоков'!$S$3)),0),0)),"","Instagram,")
&amp;IF(ISERROR(MATCH(1,INDEX(('Списки блоков'!$T$2:$T1010=B131)*(ROW('Списки блоков'!$T$2:$T1010)&lt;&gt;ROW('Списки блоков'!$T$3)),0),0)),"","Zachёt,")
&amp;IF(ISERROR(MATCH(1,INDEX(('Списки блоков'!$U$2:$U1010=B131)*(ROW('Списки блоков'!$U$2:$U1010)&lt;&gt;ROW('Списки блоков'!$U$3)),0),0)),"","IT,")
&amp;IF(ISERROR(MATCH(1,INDEX(('Списки блоков'!$V$2:$V1010=B131)*(ROW('Списки блоков'!$V$2:$V1010)&lt;&gt;ROW('Списки блоков'!$V$3)),0),0)),"","ДК,")
</f>
        <v/>
      </c>
      <c r="F131" s="164">
        <v>8.9152632337E10</v>
      </c>
      <c r="G131" s="167" t="s">
        <v>1796</v>
      </c>
      <c r="H131" s="165" t="s">
        <v>1797</v>
      </c>
      <c r="I131" s="165" t="s">
        <v>1798</v>
      </c>
      <c r="J131" s="162" t="s">
        <v>22</v>
      </c>
      <c r="K131" s="168"/>
      <c r="L131" s="168"/>
      <c r="M131" s="168"/>
      <c r="N131" s="168"/>
      <c r="AA131" s="155"/>
      <c r="AB131" s="155"/>
      <c r="AC131" s="155"/>
      <c r="AD131" s="155"/>
      <c r="AE131" s="155"/>
    </row>
    <row r="132">
      <c r="A132" s="218" t="s">
        <v>1799</v>
      </c>
      <c r="B132" s="154"/>
      <c r="C132" s="151">
        <v>210.0</v>
      </c>
      <c r="D132" s="154" t="s">
        <v>1800</v>
      </c>
      <c r="E132" s="154" t="s">
        <v>1801</v>
      </c>
      <c r="F132" s="251">
        <v>8.9297756733E10</v>
      </c>
      <c r="G132" s="178" t="s">
        <v>1802</v>
      </c>
      <c r="H132" s="305" t="s">
        <v>1803</v>
      </c>
      <c r="I132" s="191"/>
      <c r="J132" s="191"/>
      <c r="K132" s="208" t="s">
        <v>1804</v>
      </c>
      <c r="L132" s="154"/>
      <c r="M132" s="154"/>
      <c r="N132" s="154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</row>
    <row r="133">
      <c r="A133" s="306" t="s">
        <v>1805</v>
      </c>
      <c r="B133" s="150" t="s">
        <v>1806</v>
      </c>
      <c r="C133" s="197">
        <v>611.0</v>
      </c>
      <c r="D133" s="150" t="s">
        <v>1807</v>
      </c>
      <c r="E133" s="150" t="s">
        <v>1257</v>
      </c>
      <c r="F133" s="197">
        <v>8.9069751993E10</v>
      </c>
      <c r="G133" s="198" t="s">
        <v>1808</v>
      </c>
      <c r="H133" s="150" t="s">
        <v>1809</v>
      </c>
      <c r="I133" s="191"/>
      <c r="J133" s="150" t="s">
        <v>1810</v>
      </c>
      <c r="K133" s="150" t="s">
        <v>1811</v>
      </c>
      <c r="L133" s="150" t="s">
        <v>1810</v>
      </c>
      <c r="M133" s="150" t="s">
        <v>1812</v>
      </c>
      <c r="N133" s="19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55"/>
    </row>
    <row r="134">
      <c r="A134" s="179" t="s">
        <v>1813</v>
      </c>
      <c r="B134" s="272" t="s">
        <v>1814</v>
      </c>
      <c r="C134" s="295">
        <v>219.0</v>
      </c>
      <c r="D134" s="211" t="s">
        <v>1815</v>
      </c>
      <c r="E134" s="211" t="s">
        <v>1029</v>
      </c>
      <c r="F134" s="294">
        <v>8.9040434895E10</v>
      </c>
      <c r="G134" s="307" t="s">
        <v>1816</v>
      </c>
      <c r="H134" s="184" t="s">
        <v>1817</v>
      </c>
      <c r="I134" s="261" t="s">
        <v>1818</v>
      </c>
      <c r="J134" s="260"/>
      <c r="K134" s="260"/>
      <c r="L134" s="260"/>
      <c r="M134" s="209" t="s">
        <v>1819</v>
      </c>
      <c r="N134" s="21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55"/>
    </row>
    <row r="135">
      <c r="A135" s="177" t="s">
        <v>1820</v>
      </c>
      <c r="B135" s="217"/>
      <c r="C135" s="271">
        <v>324.0</v>
      </c>
      <c r="D135" s="211" t="s">
        <v>1821</v>
      </c>
      <c r="E135" s="217" t="s">
        <v>754</v>
      </c>
      <c r="F135" s="271">
        <v>8.9168746411E10</v>
      </c>
      <c r="G135" s="261" t="s">
        <v>1822</v>
      </c>
      <c r="H135" s="217" t="s">
        <v>1823</v>
      </c>
      <c r="I135" s="217" t="s">
        <v>1824</v>
      </c>
      <c r="J135" s="217" t="s">
        <v>1824</v>
      </c>
      <c r="K135" s="217" t="s">
        <v>1825</v>
      </c>
      <c r="L135" s="217"/>
      <c r="M135" s="217"/>
      <c r="N135" s="217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</row>
    <row r="136">
      <c r="A136" s="177" t="s">
        <v>1826</v>
      </c>
      <c r="B136" s="211" t="s">
        <v>1827</v>
      </c>
      <c r="C136" s="210">
        <v>421.0</v>
      </c>
      <c r="D136" s="211" t="s">
        <v>1828</v>
      </c>
      <c r="E136" s="211" t="s">
        <v>1540</v>
      </c>
      <c r="F136" s="210">
        <v>8.9267304516E10</v>
      </c>
      <c r="G136" s="273" t="s">
        <v>1829</v>
      </c>
      <c r="H136" s="211" t="s">
        <v>1830</v>
      </c>
      <c r="I136" s="260"/>
      <c r="J136" s="211" t="s">
        <v>1831</v>
      </c>
      <c r="K136" s="211" t="s">
        <v>1832</v>
      </c>
      <c r="L136" s="211" t="s">
        <v>1833</v>
      </c>
      <c r="M136" s="211" t="s">
        <v>1834</v>
      </c>
      <c r="N136" s="260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55"/>
    </row>
    <row r="137">
      <c r="A137" s="177" t="s">
        <v>1835</v>
      </c>
      <c r="B137" s="211" t="s">
        <v>1836</v>
      </c>
      <c r="C137" s="210">
        <v>315.0</v>
      </c>
      <c r="D137" s="211" t="s">
        <v>1837</v>
      </c>
      <c r="E137" s="211" t="s">
        <v>1838</v>
      </c>
      <c r="F137" s="295">
        <v>7.9152904188E10</v>
      </c>
      <c r="G137" s="273" t="s">
        <v>1839</v>
      </c>
      <c r="H137" s="211" t="s">
        <v>1840</v>
      </c>
      <c r="I137" s="260"/>
      <c r="J137" s="211" t="s">
        <v>1841</v>
      </c>
      <c r="K137" s="211" t="s">
        <v>1842</v>
      </c>
      <c r="L137" s="217" t="s">
        <v>1843</v>
      </c>
      <c r="M137" s="217"/>
      <c r="N137" s="21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55"/>
    </row>
    <row r="138">
      <c r="A138" s="177" t="s">
        <v>1844</v>
      </c>
      <c r="B138" s="211" t="s">
        <v>1845</v>
      </c>
      <c r="C138" s="210">
        <v>405.0</v>
      </c>
      <c r="D138" s="211" t="s">
        <v>1846</v>
      </c>
      <c r="E138" s="211" t="s">
        <v>1847</v>
      </c>
      <c r="F138" s="271">
        <v>8.9141558085E10</v>
      </c>
      <c r="G138" s="261" t="s">
        <v>1848</v>
      </c>
      <c r="H138" s="308" t="s">
        <v>1849</v>
      </c>
      <c r="I138" s="217" t="s">
        <v>1850</v>
      </c>
      <c r="J138" s="211" t="s">
        <v>1851</v>
      </c>
      <c r="K138" s="211" t="s">
        <v>1852</v>
      </c>
      <c r="L138" s="260"/>
      <c r="M138" s="217"/>
      <c r="N138" s="21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55"/>
    </row>
    <row r="139">
      <c r="A139" s="177" t="s">
        <v>1853</v>
      </c>
      <c r="B139" s="211" t="s">
        <v>1854</v>
      </c>
      <c r="C139" s="210">
        <v>316.0</v>
      </c>
      <c r="D139" s="211" t="s">
        <v>1855</v>
      </c>
      <c r="E139" s="260" t="s">
        <v>1029</v>
      </c>
      <c r="F139" s="210">
        <v>8.9251658865E10</v>
      </c>
      <c r="G139" s="274" t="s">
        <v>1856</v>
      </c>
      <c r="H139" s="211" t="s">
        <v>1857</v>
      </c>
      <c r="I139" s="260"/>
      <c r="J139" s="260"/>
      <c r="K139" s="211" t="s">
        <v>1858</v>
      </c>
      <c r="L139" s="211" t="s">
        <v>1859</v>
      </c>
      <c r="M139" s="260"/>
      <c r="N139" s="260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</row>
    <row r="140">
      <c r="A140" s="179" t="s">
        <v>1860</v>
      </c>
      <c r="B140" s="187" t="s">
        <v>1861</v>
      </c>
      <c r="C140" s="186">
        <v>321.0</v>
      </c>
      <c r="D140" s="150" t="s">
        <v>1862</v>
      </c>
      <c r="E140" s="187" t="s">
        <v>1863</v>
      </c>
      <c r="F140" s="181" t="s">
        <v>1864</v>
      </c>
      <c r="G140" s="159" t="s">
        <v>1865</v>
      </c>
      <c r="H140" s="180" t="s">
        <v>1866</v>
      </c>
      <c r="I140" s="154"/>
      <c r="J140" s="191"/>
      <c r="K140" s="150" t="s">
        <v>1867</v>
      </c>
      <c r="L140" s="191"/>
      <c r="M140" s="150" t="s">
        <v>1868</v>
      </c>
      <c r="N140" s="150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</row>
    <row r="141">
      <c r="A141" s="199" t="s">
        <v>1869</v>
      </c>
      <c r="B141" s="272" t="s">
        <v>1870</v>
      </c>
      <c r="C141" s="295">
        <v>528.0</v>
      </c>
      <c r="D141" s="211" t="s">
        <v>1871</v>
      </c>
      <c r="E141" s="260" t="s">
        <v>1029</v>
      </c>
      <c r="F141" s="295" t="s">
        <v>1872</v>
      </c>
      <c r="G141" s="296" t="s">
        <v>1873</v>
      </c>
      <c r="H141" s="272" t="s">
        <v>1874</v>
      </c>
      <c r="I141" s="260"/>
      <c r="J141" s="260"/>
      <c r="K141" s="211" t="s">
        <v>1875</v>
      </c>
      <c r="L141" s="211" t="s">
        <v>1876</v>
      </c>
      <c r="M141" s="211" t="s">
        <v>1877</v>
      </c>
      <c r="N141" s="260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</row>
    <row r="142">
      <c r="A142" s="185" t="s">
        <v>1878</v>
      </c>
      <c r="B142" s="260"/>
      <c r="C142" s="295">
        <v>210.0</v>
      </c>
      <c r="D142" s="211" t="s">
        <v>1879</v>
      </c>
      <c r="E142" s="211" t="s">
        <v>1880</v>
      </c>
      <c r="F142" s="295">
        <v>8.9154134139E10</v>
      </c>
      <c r="G142" s="299" t="s">
        <v>1881</v>
      </c>
      <c r="H142" s="211" t="s">
        <v>1882</v>
      </c>
      <c r="I142" s="211" t="s">
        <v>1883</v>
      </c>
      <c r="J142" s="211" t="s">
        <v>1884</v>
      </c>
      <c r="K142" s="211" t="s">
        <v>1885</v>
      </c>
      <c r="L142" s="260"/>
      <c r="M142" s="217" t="s">
        <v>1877</v>
      </c>
      <c r="N142" s="21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</row>
    <row r="143">
      <c r="A143" s="177" t="s">
        <v>1886</v>
      </c>
      <c r="B143" s="211" t="s">
        <v>1887</v>
      </c>
      <c r="C143" s="210">
        <v>611.0</v>
      </c>
      <c r="D143" s="211" t="s">
        <v>1888</v>
      </c>
      <c r="E143" s="260" t="s">
        <v>1029</v>
      </c>
      <c r="F143" s="210">
        <v>8.9162643028E10</v>
      </c>
      <c r="G143" s="273" t="s">
        <v>1889</v>
      </c>
      <c r="H143" s="211" t="s">
        <v>1890</v>
      </c>
      <c r="I143" s="273" t="s">
        <v>1891</v>
      </c>
      <c r="J143" s="211" t="s">
        <v>1892</v>
      </c>
      <c r="K143" s="211" t="s">
        <v>1892</v>
      </c>
      <c r="L143" s="211" t="s">
        <v>1893</v>
      </c>
      <c r="M143" s="260"/>
      <c r="N143" s="260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</row>
    <row r="144">
      <c r="A144" s="177" t="s">
        <v>1894</v>
      </c>
      <c r="B144" s="260"/>
      <c r="C144" s="210">
        <v>508.0</v>
      </c>
      <c r="D144" s="211" t="s">
        <v>1895</v>
      </c>
      <c r="E144" s="211" t="s">
        <v>754</v>
      </c>
      <c r="F144" s="210">
        <v>8.9150325329E10</v>
      </c>
      <c r="G144" s="273" t="s">
        <v>1896</v>
      </c>
      <c r="H144" s="211" t="s">
        <v>1897</v>
      </c>
      <c r="I144" s="211" t="s">
        <v>1898</v>
      </c>
      <c r="J144" s="211" t="s">
        <v>1899</v>
      </c>
      <c r="K144" s="260"/>
      <c r="L144" s="260"/>
      <c r="M144" s="211" t="s">
        <v>1900</v>
      </c>
      <c r="N144" s="273" t="s">
        <v>1891</v>
      </c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55"/>
    </row>
    <row r="145">
      <c r="A145" s="165" t="s">
        <v>1901</v>
      </c>
      <c r="B145" s="163" t="str">
        <f>LEFT(A145,FIND(CHAR(160),SUBSTITUTE(A145," ",CHAR(160),2)) - 1)</f>
        <v>Кустенков Александр</v>
      </c>
      <c r="C145" s="164">
        <v>530.0</v>
      </c>
      <c r="D145" s="165" t="s">
        <v>670</v>
      </c>
      <c r="E145" s="163" t="str">
        <f t="array" ref="E145">IF(ISERROR(MATCH(1,INDEX(('Списки блоков'!$B$2:$B1010=B145)*(ROW('Списки блоков'!$B$2:$B1010)&lt;&gt;ROW('Списки блоков'!$B$3)),0),0)),"","БДНС,")
&amp;IF(ISERROR(MATCH(1,INDEX(('Списки блоков'!$C$2:$C1010=B145)*(ROW('Списки блоков'!$C$2:$C1010)&lt;&gt;ROW('Списки блоков'!$C$3)),0),0)),"","Видеолаба,")
&amp;IF(ISERROR(MATCH(1,INDEX(('Списки блоков'!$D$2:$D1010=B145)*(ROW('Списки блоков'!$D$2:$D1010)&lt;&gt;ROW('Списки блоков'!$D$3)),0),0)),"","Декораторы,")
&amp;IF(ISERROR(MATCH(1,INDEX(('Списки блоков'!$E$2:$E1010=B145)*(ROW('Списки блоков'!$E$2:$E1010)&lt;&gt;ROW('Списки блоков'!$E$3)),0),0)),"","Дизайн,")
&amp;IF(ISERROR(MATCH(1,INDEX(('Списки блоков'!$F$2:$F1010=B145)*(ROW('Списки блоков'!$F$2:$F1010)&lt;&gt;ROW('Списки блоков'!$F$3)),0),0)),"","Досуг,")
&amp;IF(ISERROR(MATCH(1,INDEX(('Списки блоков'!$G$2:$G1010=B145)*(ROW('Списки блоков'!$G$2:$G1010)&lt;&gt;ROW('Списки блоков'!$G$3)),0),0)),"","Закупки,")
&amp;IF(ISERROR(MATCH(1,INDEX(('Списки блоков'!$H$2:$H1010=B145)*(ROW('Списки блоков'!$H$2:$H1010)&lt;&gt;ROW('Списки блоков'!$H$3)),0),0)),"","ИнфоБлок,")
&amp;IF(ISERROR(MATCH(1,INDEX(('Списки блоков'!$I$2:$I1010=B145)*(ROW('Списки блоков'!$I$2:$I1010)&lt;&gt;ROW('Списки блоков'!$I$3)),0),0)),"","КГ,")
&amp;IF(ISERROR(MATCH(1,INDEX(('Списки блоков'!$J$2:$J1010=B145)*(ROW('Списки блоков'!$J$2:$J1010)&lt;&gt;ROW('Списки блоков'!$J$3)),0),0)),"","МП,")
&amp;IF(ISERROR(MATCH(1,INDEX(('Списки блоков'!$K$2:$K1010=B145)*(ROW('Списки блоков'!$K$2:$K1010)&lt;&gt;ROW('Списки блоков'!$K$3)),0),0)),"","Профорги,")
&amp;IF(ISERROR(MATCH(1,INDEX(('Списки блоков'!$L$2:$L1010=B145)*(ROW('Списки блоков'!$L$2:$L1010)&lt;&gt;ROW('Списки блоков'!$L$3)),0),0)),"","Спонсоры,")
&amp;IF(ISERROR(MATCH(1,INDEX(('Списки блоков'!$M$2:$M1010=B145)*(ROW('Списки блоков'!$M$2:$M1010)&lt;&gt;ROW('Списки блоков'!$M$3)),0),0)),"","Склад,")
&amp;IF(ISERROR(MATCH(1,INDEX(('Списки блоков'!$N$2:$N1010=B145)*(ROW('Списки блоков'!$N$2:$N1010)&lt;&gt;ROW('Списки блоков'!$N$3)),0),0)),"","Сценаристы,")
&amp;IF(ISERROR(MATCH(1,INDEX(('Списки блоков'!$O$2:$O1010=B145)*(ROW('Списки блоков'!$O$2:$O1010)&lt;&gt;ROW('Списки блоков'!$O$3)),0),0)),"","Техники,")
&amp;IF(ISERROR(MATCH(1,INDEX(('Списки блоков'!$P$2:$P1010=B145)*(ROW('Списки блоков'!$P$2:$P1010)&lt;&gt;ROW('Списки блоков'!$P$3)),0),0)),"","УРС,")
&amp;IF(ISERROR(MATCH(1,INDEX(('Списки блоков'!$Q$2:$Q1010=B145)*(ROW('Списки блоков'!$Q$2:$Q1010)&lt;&gt;ROW('Списки блоков'!$Q$3)),0),0)),"","Фото,")
&amp;IF(ISERROR(MATCH(1,INDEX((#REF!=B145)*(ROW(#REF!)&lt;&gt;ROW(#REF!)),0),0)),"","ЭкоБлок,")
&amp;IF(ISERROR(MATCH(1,INDEX(('Списки блоков'!$R$2:$R1010=B145)*(ROW('Списки блоков'!$R$2:$R1010)&lt;&gt;ROW('Списки блоков'!$R$3)),0),0)),"","HR,")
&amp;IF(ISERROR(MATCH(1,INDEX(('Списки блоков'!$S$2:$S1010=B145)*(ROW('Списки блоков'!$S$2:$S1010)&lt;&gt;ROW('Списки блоков'!$S$3)),0),0)),"","Instagram,")
&amp;IF(ISERROR(MATCH(1,INDEX(('Списки блоков'!$T$2:$T1010=B145)*(ROW('Списки блоков'!$T$2:$T1010)&lt;&gt;ROW('Списки блоков'!$T$3)),0),0)),"","Zachёt,")
&amp;IF(ISERROR(MATCH(1,INDEX(('Списки блоков'!$U$2:$U1010=B145)*(ROW('Списки блоков'!$U$2:$U1010)&lt;&gt;ROW('Списки блоков'!$U$3)),0),0)),"","IT,")
&amp;IF(ISERROR(MATCH(1,INDEX(('Списки блоков'!$V$2:$V1010=B145)*(ROW('Списки блоков'!$V$2:$V1010)&lt;&gt;ROW('Списки блоков'!$V$3)),0),0)),"","ДК,")
</f>
        <v/>
      </c>
      <c r="F145" s="164">
        <v>8.9853888891E10</v>
      </c>
      <c r="G145" s="165" t="s">
        <v>1902</v>
      </c>
      <c r="H145" s="165" t="s">
        <v>1903</v>
      </c>
      <c r="I145" s="165" t="s">
        <v>1904</v>
      </c>
      <c r="J145" s="162" t="s">
        <v>22</v>
      </c>
      <c r="K145" s="168"/>
      <c r="L145" s="168"/>
      <c r="M145" s="168"/>
      <c r="N145" s="168"/>
      <c r="AA145" s="155"/>
      <c r="AB145" s="155"/>
      <c r="AC145" s="155"/>
      <c r="AD145" s="155"/>
      <c r="AE145" s="155"/>
    </row>
    <row r="146">
      <c r="A146" s="149" t="s">
        <v>1905</v>
      </c>
      <c r="B146" s="217" t="s">
        <v>1906</v>
      </c>
      <c r="C146" s="271">
        <v>241.0</v>
      </c>
      <c r="D146" s="217" t="s">
        <v>50</v>
      </c>
      <c r="E146" s="217" t="s">
        <v>1907</v>
      </c>
      <c r="F146" s="271">
        <v>8.9235558031E10</v>
      </c>
      <c r="G146" s="213" t="s">
        <v>1908</v>
      </c>
      <c r="H146" s="217" t="s">
        <v>1909</v>
      </c>
      <c r="I146" s="217"/>
      <c r="J146" s="217"/>
      <c r="K146" s="217" t="s">
        <v>1910</v>
      </c>
      <c r="L146" s="217" t="s">
        <v>1911</v>
      </c>
      <c r="M146" s="260"/>
      <c r="N146" s="260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</row>
    <row r="147">
      <c r="A147" s="185" t="s">
        <v>1912</v>
      </c>
      <c r="B147" s="272" t="s">
        <v>1913</v>
      </c>
      <c r="C147" s="295">
        <v>321.0</v>
      </c>
      <c r="D147" s="211" t="s">
        <v>1914</v>
      </c>
      <c r="E147" s="272" t="s">
        <v>1019</v>
      </c>
      <c r="F147" s="295">
        <v>8.9032926749E10</v>
      </c>
      <c r="G147" s="296" t="s">
        <v>1915</v>
      </c>
      <c r="H147" s="272" t="s">
        <v>1916</v>
      </c>
      <c r="I147" s="260"/>
      <c r="J147" s="260"/>
      <c r="K147" s="260"/>
      <c r="L147" s="260"/>
      <c r="M147" s="211"/>
      <c r="N147" s="273" t="s">
        <v>1917</v>
      </c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</row>
    <row r="148">
      <c r="A148" s="179" t="s">
        <v>1918</v>
      </c>
      <c r="B148" s="272" t="s">
        <v>1919</v>
      </c>
      <c r="C148" s="295">
        <v>416.0</v>
      </c>
      <c r="D148" s="211" t="s">
        <v>1288</v>
      </c>
      <c r="E148" s="272" t="s">
        <v>1920</v>
      </c>
      <c r="F148" s="294" t="s">
        <v>1921</v>
      </c>
      <c r="G148" s="264" t="s">
        <v>1922</v>
      </c>
      <c r="H148" s="184" t="s">
        <v>1923</v>
      </c>
      <c r="I148" s="217"/>
      <c r="J148" s="260"/>
      <c r="K148" s="260"/>
      <c r="L148" s="217" t="s">
        <v>1924</v>
      </c>
      <c r="M148" s="211" t="s">
        <v>1925</v>
      </c>
      <c r="N148" s="260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</row>
    <row r="149">
      <c r="A149" s="218" t="s">
        <v>1926</v>
      </c>
      <c r="B149" s="209" t="s">
        <v>1927</v>
      </c>
      <c r="C149" s="210">
        <v>427.0</v>
      </c>
      <c r="D149" s="211" t="s">
        <v>1928</v>
      </c>
      <c r="E149" s="297" t="s">
        <v>1929</v>
      </c>
      <c r="F149" s="271">
        <v>8.9636429198E10</v>
      </c>
      <c r="G149" s="261" t="s">
        <v>1930</v>
      </c>
      <c r="H149" s="309" t="s">
        <v>1931</v>
      </c>
      <c r="I149" s="216" t="s">
        <v>1932</v>
      </c>
      <c r="J149" s="216" t="s">
        <v>1932</v>
      </c>
      <c r="K149" s="211" t="s">
        <v>1933</v>
      </c>
      <c r="L149" s="211" t="s">
        <v>1934</v>
      </c>
      <c r="M149" s="209" t="s">
        <v>1935</v>
      </c>
      <c r="N149" s="21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</row>
    <row r="150">
      <c r="A150" s="185" t="s">
        <v>1936</v>
      </c>
      <c r="B150" s="272" t="s">
        <v>1937</v>
      </c>
      <c r="C150" s="295">
        <v>203.0</v>
      </c>
      <c r="D150" s="260"/>
      <c r="E150" s="260" t="s">
        <v>1029</v>
      </c>
      <c r="F150" s="295" t="s">
        <v>1938</v>
      </c>
      <c r="G150" s="299" t="s">
        <v>1939</v>
      </c>
      <c r="H150" s="272" t="s">
        <v>1940</v>
      </c>
      <c r="I150" s="273" t="s">
        <v>1941</v>
      </c>
      <c r="J150" s="260"/>
      <c r="K150" s="260"/>
      <c r="L150" s="260"/>
      <c r="M150" s="217"/>
      <c r="N150" s="21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55"/>
    </row>
    <row r="151">
      <c r="A151" s="179" t="s">
        <v>1942</v>
      </c>
      <c r="B151" s="217"/>
      <c r="C151" s="294">
        <v>104.0</v>
      </c>
      <c r="D151" s="217" t="s">
        <v>1943</v>
      </c>
      <c r="E151" s="217" t="s">
        <v>753</v>
      </c>
      <c r="F151" s="294">
        <v>8.9256747626E10</v>
      </c>
      <c r="G151" s="307" t="s">
        <v>1944</v>
      </c>
      <c r="H151" s="217" t="s">
        <v>1945</v>
      </c>
      <c r="I151" s="260"/>
      <c r="J151" s="217" t="s">
        <v>1946</v>
      </c>
      <c r="K151" s="217" t="s">
        <v>1947</v>
      </c>
      <c r="L151" s="217"/>
      <c r="M151" s="211" t="s">
        <v>1948</v>
      </c>
      <c r="N151" s="260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55"/>
    </row>
    <row r="152">
      <c r="A152" s="177" t="s">
        <v>1942</v>
      </c>
      <c r="B152" s="211" t="s">
        <v>1949</v>
      </c>
      <c r="C152" s="210">
        <v>413.0</v>
      </c>
      <c r="D152" s="211" t="s">
        <v>670</v>
      </c>
      <c r="E152" s="260" t="s">
        <v>1029</v>
      </c>
      <c r="F152" s="210">
        <v>8.9256747626E10</v>
      </c>
      <c r="G152" s="274" t="s">
        <v>1950</v>
      </c>
      <c r="H152" s="211" t="s">
        <v>1945</v>
      </c>
      <c r="I152" s="260"/>
      <c r="J152" s="260"/>
      <c r="K152" s="211" t="s">
        <v>1951</v>
      </c>
      <c r="L152" s="211" t="s">
        <v>1952</v>
      </c>
      <c r="M152" s="217"/>
      <c r="N152" s="217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</row>
    <row r="153">
      <c r="A153" s="179" t="s">
        <v>1953</v>
      </c>
      <c r="B153" s="272" t="s">
        <v>1954</v>
      </c>
      <c r="C153" s="295">
        <v>623.0</v>
      </c>
      <c r="D153" s="211" t="s">
        <v>1955</v>
      </c>
      <c r="E153" s="211" t="s">
        <v>1956</v>
      </c>
      <c r="F153" s="294">
        <v>8.9174554604E10</v>
      </c>
      <c r="G153" s="264" t="s">
        <v>1957</v>
      </c>
      <c r="H153" s="217" t="s">
        <v>1958</v>
      </c>
      <c r="I153" s="217"/>
      <c r="J153" s="217" t="s">
        <v>1959</v>
      </c>
      <c r="K153" s="217" t="s">
        <v>1960</v>
      </c>
      <c r="L153" s="217" t="s">
        <v>1961</v>
      </c>
      <c r="M153" s="211" t="s">
        <v>1962</v>
      </c>
      <c r="N153" s="260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</row>
    <row r="154">
      <c r="A154" s="165" t="s">
        <v>1963</v>
      </c>
      <c r="B154" s="265" t="str">
        <f>LEFT(A154,FIND(CHAR(160),SUBSTITUTE(A154," ",CHAR(160),2)) - 1)</f>
        <v>Лебедев Андрей</v>
      </c>
      <c r="C154" s="266">
        <v>524.0</v>
      </c>
      <c r="D154" s="267" t="s">
        <v>1964</v>
      </c>
      <c r="E154" s="265" t="str">
        <f t="array" ref="E154">IF(ISERROR(MATCH(1,INDEX(('Списки блоков'!$B$2:$B1010=B154)*(ROW('Списки блоков'!$B$2:$B1010)&lt;&gt;ROW('Списки блоков'!$B$3)),0),0)),"","БДНС,")
&amp;IF(ISERROR(MATCH(1,INDEX(('Списки блоков'!$C$2:$C1010=B154)*(ROW('Списки блоков'!$C$2:$C1010)&lt;&gt;ROW('Списки блоков'!$C$3)),0),0)),"","Видеолаба,")
&amp;IF(ISERROR(MATCH(1,INDEX(('Списки блоков'!$D$2:$D1010=B154)*(ROW('Списки блоков'!$D$2:$D1010)&lt;&gt;ROW('Списки блоков'!$D$3)),0),0)),"","Декораторы,")
&amp;IF(ISERROR(MATCH(1,INDEX(('Списки блоков'!$E$2:$E1010=B154)*(ROW('Списки блоков'!$E$2:$E1010)&lt;&gt;ROW('Списки блоков'!$E$3)),0),0)),"","Дизайн,")
&amp;IF(ISERROR(MATCH(1,INDEX(('Списки блоков'!$F$2:$F1010=B154)*(ROW('Списки блоков'!$F$2:$F1010)&lt;&gt;ROW('Списки блоков'!$F$3)),0),0)),"","Досуг,")
&amp;IF(ISERROR(MATCH(1,INDEX(('Списки блоков'!$G$2:$G1010=B154)*(ROW('Списки блоков'!$G$2:$G1010)&lt;&gt;ROW('Списки блоков'!$G$3)),0),0)),"","Закупки,")
&amp;IF(ISERROR(MATCH(1,INDEX(('Списки блоков'!$H$2:$H1010=B154)*(ROW('Списки блоков'!$H$2:$H1010)&lt;&gt;ROW('Списки блоков'!$H$3)),0),0)),"","ИнфоБлок,")
&amp;IF(ISERROR(MATCH(1,INDEX(('Списки блоков'!$I$2:$I1010=B154)*(ROW('Списки блоков'!$I$2:$I1010)&lt;&gt;ROW('Списки блоков'!$I$3)),0),0)),"","КГ,")
&amp;IF(ISERROR(MATCH(1,INDEX(('Списки блоков'!$J$2:$J1010=B154)*(ROW('Списки блоков'!$J$2:$J1010)&lt;&gt;ROW('Списки блоков'!$J$3)),0),0)),"","МП,")
&amp;IF(ISERROR(MATCH(1,INDEX(('Списки блоков'!$K$2:$K1010=B154)*(ROW('Списки блоков'!$K$2:$K1010)&lt;&gt;ROW('Списки блоков'!$K$3)),0),0)),"","Профорги,")
&amp;IF(ISERROR(MATCH(1,INDEX(('Списки блоков'!$L$2:$L1010=B154)*(ROW('Списки блоков'!$L$2:$L1010)&lt;&gt;ROW('Списки блоков'!$L$3)),0),0)),"","Спонсоры,")
&amp;IF(ISERROR(MATCH(1,INDEX(('Списки блоков'!$M$2:$M1010=B154)*(ROW('Списки блоков'!$M$2:$M1010)&lt;&gt;ROW('Списки блоков'!$M$3)),0),0)),"","Склад,")
&amp;IF(ISERROR(MATCH(1,INDEX(('Списки блоков'!$N$2:$N1010=B154)*(ROW('Списки блоков'!$N$2:$N1010)&lt;&gt;ROW('Списки блоков'!$N$3)),0),0)),"","Сценаристы,")
&amp;IF(ISERROR(MATCH(1,INDEX(('Списки блоков'!$O$2:$O1010=B154)*(ROW('Списки блоков'!$O$2:$O1010)&lt;&gt;ROW('Списки блоков'!$O$3)),0),0)),"","Техники,")
&amp;IF(ISERROR(MATCH(1,INDEX(('Списки блоков'!$P$2:$P1010=B154)*(ROW('Списки блоков'!$P$2:$P1010)&lt;&gt;ROW('Списки блоков'!$P$3)),0),0)),"","УРС,")
&amp;IF(ISERROR(MATCH(1,INDEX(('Списки блоков'!$Q$2:$Q1010=B154)*(ROW('Списки блоков'!$Q$2:$Q1010)&lt;&gt;ROW('Списки блоков'!$Q$3)),0),0)),"","Фото,")
&amp;IF(ISERROR(MATCH(1,INDEX((#REF!=B154)*(ROW(#REF!)&lt;&gt;ROW(#REF!)),0),0)),"","ЭкоБлок,")
&amp;IF(ISERROR(MATCH(1,INDEX(('Списки блоков'!$R$2:$R1010=B154)*(ROW('Списки блоков'!$R$2:$R1010)&lt;&gt;ROW('Списки блоков'!$R$3)),0),0)),"","HR,")
&amp;IF(ISERROR(MATCH(1,INDEX(('Списки блоков'!$S$2:$S1010=B154)*(ROW('Списки блоков'!$S$2:$S1010)&lt;&gt;ROW('Списки блоков'!$S$3)),0),0)),"","Instagram,")
&amp;IF(ISERROR(MATCH(1,INDEX(('Списки блоков'!$T$2:$T1010=B154)*(ROW('Списки блоков'!$T$2:$T1010)&lt;&gt;ROW('Списки блоков'!$T$3)),0),0)),"","Zachёt,")
&amp;IF(ISERROR(MATCH(1,INDEX(('Списки блоков'!$U$2:$U1010=B154)*(ROW('Списки блоков'!$U$2:$U1010)&lt;&gt;ROW('Списки блоков'!$U$3)),0),0)),"","IT,")
&amp;IF(ISERROR(MATCH(1,INDEX(('Списки блоков'!$V$2:$V1010=B154)*(ROW('Списки блоков'!$V$2:$V1010)&lt;&gt;ROW('Списки блоков'!$V$3)),0),0)),"","ДК,")
</f>
        <v/>
      </c>
      <c r="F154" s="268">
        <v>8.9859350557E10</v>
      </c>
      <c r="G154" s="269" t="s">
        <v>1965</v>
      </c>
      <c r="H154" s="267" t="s">
        <v>1966</v>
      </c>
      <c r="I154" s="267" t="s">
        <v>1967</v>
      </c>
      <c r="J154" s="268" t="s">
        <v>22</v>
      </c>
      <c r="K154" s="270"/>
      <c r="L154" s="270"/>
      <c r="M154" s="270"/>
      <c r="N154" s="270"/>
      <c r="AA154" s="155"/>
      <c r="AB154" s="155"/>
      <c r="AC154" s="155"/>
      <c r="AD154" s="155"/>
      <c r="AE154" s="155"/>
    </row>
    <row r="155">
      <c r="A155" s="199" t="s">
        <v>1968</v>
      </c>
      <c r="B155" s="310" t="s">
        <v>1969</v>
      </c>
      <c r="C155" s="294">
        <v>328.0</v>
      </c>
      <c r="D155" s="311" t="s">
        <v>1970</v>
      </c>
      <c r="E155" s="312" t="s">
        <v>1971</v>
      </c>
      <c r="F155" s="294">
        <v>8.9147552066E10</v>
      </c>
      <c r="G155" s="307" t="s">
        <v>1972</v>
      </c>
      <c r="H155" s="312" t="s">
        <v>1973</v>
      </c>
      <c r="I155" s="312" t="s">
        <v>116</v>
      </c>
      <c r="J155" s="312" t="s">
        <v>1974</v>
      </c>
      <c r="K155" s="312" t="s">
        <v>1975</v>
      </c>
      <c r="L155" s="217"/>
      <c r="M155" s="211" t="s">
        <v>1976</v>
      </c>
      <c r="N155" s="21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</row>
    <row r="156">
      <c r="A156" s="149" t="s">
        <v>1977</v>
      </c>
      <c r="B156" s="217"/>
      <c r="C156" s="271">
        <v>305.0</v>
      </c>
      <c r="D156" s="260"/>
      <c r="E156" s="217" t="s">
        <v>746</v>
      </c>
      <c r="F156" s="271">
        <v>8.9096740586E10</v>
      </c>
      <c r="G156" s="261" t="s">
        <v>1978</v>
      </c>
      <c r="H156" s="217" t="s">
        <v>1979</v>
      </c>
      <c r="I156" s="217" t="s">
        <v>1980</v>
      </c>
      <c r="J156" s="217" t="s">
        <v>1981</v>
      </c>
      <c r="K156" s="217" t="s">
        <v>1982</v>
      </c>
      <c r="L156" s="217"/>
      <c r="M156" s="217"/>
      <c r="N156" s="217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</row>
    <row r="157">
      <c r="A157" s="149" t="s">
        <v>1983</v>
      </c>
      <c r="B157" s="217"/>
      <c r="C157" s="271">
        <v>314.0</v>
      </c>
      <c r="D157" s="260"/>
      <c r="E157" s="217" t="s">
        <v>1984</v>
      </c>
      <c r="F157" s="271">
        <v>8.9168746411E10</v>
      </c>
      <c r="G157" s="261" t="s">
        <v>1985</v>
      </c>
      <c r="H157" s="217" t="s">
        <v>1986</v>
      </c>
      <c r="I157" s="260"/>
      <c r="J157" s="217" t="s">
        <v>1987</v>
      </c>
      <c r="K157" s="217" t="s">
        <v>1987</v>
      </c>
      <c r="L157" s="217"/>
      <c r="M157" s="217"/>
      <c r="N157" s="217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</row>
    <row r="158">
      <c r="A158" s="185" t="s">
        <v>1988</v>
      </c>
      <c r="B158" s="272" t="s">
        <v>1989</v>
      </c>
      <c r="C158" s="295">
        <v>420.0</v>
      </c>
      <c r="D158" s="211" t="s">
        <v>1990</v>
      </c>
      <c r="E158" s="211" t="s">
        <v>1282</v>
      </c>
      <c r="F158" s="295">
        <v>8.9672274223E10</v>
      </c>
      <c r="G158" s="296" t="s">
        <v>1991</v>
      </c>
      <c r="H158" s="211" t="s">
        <v>1992</v>
      </c>
      <c r="I158" s="273" t="s">
        <v>1993</v>
      </c>
      <c r="J158" s="260"/>
      <c r="K158" s="211" t="s">
        <v>1994</v>
      </c>
      <c r="L158" s="211" t="s">
        <v>1995</v>
      </c>
      <c r="M158" s="217"/>
      <c r="N158" s="217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</row>
    <row r="159">
      <c r="A159" s="149" t="s">
        <v>1996</v>
      </c>
      <c r="B159" s="180" t="s">
        <v>1997</v>
      </c>
      <c r="C159" s="181">
        <v>203.0</v>
      </c>
      <c r="D159" s="191"/>
      <c r="E159" s="187" t="s">
        <v>1217</v>
      </c>
      <c r="F159" s="181" t="s">
        <v>1998</v>
      </c>
      <c r="G159" s="159" t="s">
        <v>1999</v>
      </c>
      <c r="H159" s="180" t="s">
        <v>2000</v>
      </c>
      <c r="I159" s="154"/>
      <c r="J159" s="154"/>
      <c r="K159" s="191"/>
      <c r="L159" s="191"/>
      <c r="M159" s="191"/>
      <c r="N159" s="191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</row>
    <row r="160">
      <c r="A160" s="177" t="s">
        <v>2001</v>
      </c>
      <c r="B160" s="272" t="s">
        <v>2002</v>
      </c>
      <c r="C160" s="295">
        <v>210.0</v>
      </c>
      <c r="D160" s="260"/>
      <c r="E160" s="260" t="s">
        <v>1029</v>
      </c>
      <c r="F160" s="295">
        <v>8.9055498073E10</v>
      </c>
      <c r="G160" s="299" t="s">
        <v>2003</v>
      </c>
      <c r="H160" s="272" t="s">
        <v>2004</v>
      </c>
      <c r="I160" s="260"/>
      <c r="J160" s="260"/>
      <c r="K160" s="260"/>
      <c r="L160" s="260"/>
      <c r="M160" s="260"/>
      <c r="N160" s="211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</row>
    <row r="161">
      <c r="A161" s="179" t="s">
        <v>2005</v>
      </c>
      <c r="B161" s="180" t="s">
        <v>2006</v>
      </c>
      <c r="C161" s="181">
        <v>421.0</v>
      </c>
      <c r="D161" s="191"/>
      <c r="E161" s="187" t="s">
        <v>1147</v>
      </c>
      <c r="F161" s="181" t="s">
        <v>2007</v>
      </c>
      <c r="G161" s="159" t="s">
        <v>2008</v>
      </c>
      <c r="H161" s="180" t="s">
        <v>2009</v>
      </c>
      <c r="I161" s="154"/>
      <c r="J161" s="191"/>
      <c r="K161" s="191"/>
      <c r="L161" s="191"/>
      <c r="M161" s="191"/>
      <c r="N161" s="191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</row>
    <row r="162">
      <c r="A162" s="179" t="s">
        <v>2010</v>
      </c>
      <c r="B162" s="217"/>
      <c r="C162" s="294">
        <v>114.0</v>
      </c>
      <c r="D162" s="313"/>
      <c r="E162" s="217" t="s">
        <v>1517</v>
      </c>
      <c r="F162" s="294">
        <v>8.9778795667E10</v>
      </c>
      <c r="G162" s="264" t="s">
        <v>2011</v>
      </c>
      <c r="H162" s="217" t="s">
        <v>2012</v>
      </c>
      <c r="I162" s="260"/>
      <c r="J162" s="260"/>
      <c r="K162" s="260"/>
      <c r="L162" s="217"/>
      <c r="M162" s="211" t="s">
        <v>2013</v>
      </c>
      <c r="N162" s="21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</row>
    <row r="163">
      <c r="A163" s="314" t="s">
        <v>2014</v>
      </c>
      <c r="B163" s="180" t="s">
        <v>2015</v>
      </c>
      <c r="C163" s="181">
        <v>109.0</v>
      </c>
      <c r="D163" s="154"/>
      <c r="E163" s="154"/>
      <c r="F163" s="188">
        <v>8.9153981614E10</v>
      </c>
      <c r="G163" s="189" t="s">
        <v>2016</v>
      </c>
      <c r="H163" s="180" t="s">
        <v>2017</v>
      </c>
      <c r="I163" s="154"/>
      <c r="J163" s="154"/>
      <c r="K163" s="154"/>
      <c r="L163" s="154"/>
      <c r="M163" s="154"/>
      <c r="N163" s="154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</row>
    <row r="164">
      <c r="A164" s="177" t="s">
        <v>2018</v>
      </c>
      <c r="B164" s="154"/>
      <c r="C164" s="151">
        <v>416.0</v>
      </c>
      <c r="D164" s="150" t="s">
        <v>2019</v>
      </c>
      <c r="E164" s="154" t="s">
        <v>2020</v>
      </c>
      <c r="F164" s="151">
        <v>8.9250513191E10</v>
      </c>
      <c r="G164" s="178" t="s">
        <v>2021</v>
      </c>
      <c r="H164" s="154" t="s">
        <v>2022</v>
      </c>
      <c r="I164" s="154" t="s">
        <v>2023</v>
      </c>
      <c r="J164" s="154" t="s">
        <v>2024</v>
      </c>
      <c r="K164" s="154" t="s">
        <v>2025</v>
      </c>
      <c r="L164" s="154"/>
      <c r="M164" s="154"/>
      <c r="N164" s="154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</row>
    <row r="165">
      <c r="A165" s="185" t="s">
        <v>2026</v>
      </c>
      <c r="B165" s="187" t="s">
        <v>2026</v>
      </c>
      <c r="C165" s="191"/>
      <c r="D165" s="191"/>
      <c r="E165" s="187" t="s">
        <v>2027</v>
      </c>
      <c r="F165" s="191"/>
      <c r="G165" s="191"/>
      <c r="H165" s="191"/>
      <c r="I165" s="191"/>
      <c r="J165" s="191"/>
      <c r="K165" s="191"/>
      <c r="L165" s="191"/>
      <c r="M165" s="154"/>
      <c r="N165" s="154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</row>
    <row r="166">
      <c r="A166" s="156" t="s">
        <v>2028</v>
      </c>
      <c r="B166" s="154" t="s">
        <v>2026</v>
      </c>
      <c r="C166" s="157">
        <v>204.0</v>
      </c>
      <c r="D166" s="154"/>
      <c r="E166" s="154" t="s">
        <v>924</v>
      </c>
      <c r="F166" s="160" t="s">
        <v>2029</v>
      </c>
      <c r="G166" s="159" t="s">
        <v>2030</v>
      </c>
      <c r="H166" s="160" t="s">
        <v>2031</v>
      </c>
      <c r="I166" s="154"/>
      <c r="J166" s="154"/>
      <c r="K166" s="154"/>
      <c r="L166" s="154"/>
      <c r="M166" s="154"/>
      <c r="N166" s="150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55"/>
    </row>
    <row r="167">
      <c r="A167" s="185" t="s">
        <v>2032</v>
      </c>
      <c r="B167" s="187" t="s">
        <v>2033</v>
      </c>
      <c r="C167" s="186">
        <v>217.0</v>
      </c>
      <c r="D167" s="150" t="s">
        <v>1559</v>
      </c>
      <c r="E167" s="191" t="s">
        <v>1029</v>
      </c>
      <c r="F167" s="186" t="s">
        <v>2034</v>
      </c>
      <c r="G167" s="190" t="s">
        <v>2035</v>
      </c>
      <c r="H167" s="187" t="s">
        <v>2036</v>
      </c>
      <c r="I167" s="191"/>
      <c r="J167" s="191"/>
      <c r="K167" s="191"/>
      <c r="L167" s="191"/>
      <c r="M167" s="150"/>
      <c r="N167" s="150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</row>
    <row r="168">
      <c r="A168" s="185" t="s">
        <v>2037</v>
      </c>
      <c r="B168" s="154"/>
      <c r="C168" s="181">
        <v>213.0</v>
      </c>
      <c r="D168" s="150" t="s">
        <v>1050</v>
      </c>
      <c r="E168" s="154" t="s">
        <v>744</v>
      </c>
      <c r="F168" s="181">
        <v>8.9771373409E10</v>
      </c>
      <c r="G168" s="189" t="s">
        <v>2038</v>
      </c>
      <c r="H168" s="154" t="s">
        <v>2039</v>
      </c>
      <c r="I168" s="191"/>
      <c r="J168" s="191"/>
      <c r="K168" s="191" t="s">
        <v>2040</v>
      </c>
      <c r="L168" s="154"/>
      <c r="M168" s="191"/>
      <c r="N168" s="19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55"/>
    </row>
    <row r="169">
      <c r="A169" s="177" t="s">
        <v>2041</v>
      </c>
      <c r="B169" s="187" t="s">
        <v>2042</v>
      </c>
      <c r="C169" s="186">
        <v>214.0</v>
      </c>
      <c r="D169" s="191"/>
      <c r="E169" s="191" t="s">
        <v>1029</v>
      </c>
      <c r="F169" s="186">
        <v>8.9034524996E10</v>
      </c>
      <c r="G169" s="193" t="s">
        <v>2043</v>
      </c>
      <c r="H169" s="187" t="s">
        <v>2044</v>
      </c>
      <c r="I169" s="191"/>
      <c r="J169" s="191"/>
      <c r="K169" s="191"/>
      <c r="L169" s="191"/>
      <c r="M169" s="154"/>
      <c r="N169" s="154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</row>
    <row r="170">
      <c r="A170" s="179" t="s">
        <v>2045</v>
      </c>
      <c r="B170" s="154"/>
      <c r="C170" s="181">
        <v>116.0</v>
      </c>
      <c r="D170" s="154" t="s">
        <v>1172</v>
      </c>
      <c r="E170" s="154" t="s">
        <v>2046</v>
      </c>
      <c r="F170" s="181">
        <v>8.9104486091E10</v>
      </c>
      <c r="G170" s="189" t="s">
        <v>2047</v>
      </c>
      <c r="H170" s="154" t="s">
        <v>2048</v>
      </c>
      <c r="I170" s="226" t="s">
        <v>2049</v>
      </c>
      <c r="J170" s="154" t="s">
        <v>2050</v>
      </c>
      <c r="K170" s="154" t="s">
        <v>2051</v>
      </c>
      <c r="L170" s="154"/>
      <c r="M170" s="191"/>
      <c r="N170" s="191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</row>
    <row r="171">
      <c r="A171" s="185" t="s">
        <v>2052</v>
      </c>
      <c r="B171" s="187" t="s">
        <v>2053</v>
      </c>
      <c r="C171" s="186" t="s">
        <v>2054</v>
      </c>
      <c r="D171" s="150" t="s">
        <v>1701</v>
      </c>
      <c r="E171" s="187" t="s">
        <v>1361</v>
      </c>
      <c r="F171" s="186">
        <v>7.9099093006E10</v>
      </c>
      <c r="G171" s="193" t="s">
        <v>2055</v>
      </c>
      <c r="H171" s="187" t="s">
        <v>2056</v>
      </c>
      <c r="I171" s="191"/>
      <c r="J171" s="191"/>
      <c r="K171" s="150" t="s">
        <v>2057</v>
      </c>
      <c r="L171" s="191"/>
      <c r="M171" s="154"/>
      <c r="N171" s="154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</row>
    <row r="172">
      <c r="A172" s="177" t="s">
        <v>2058</v>
      </c>
      <c r="B172" s="260"/>
      <c r="C172" s="210">
        <v>320.0</v>
      </c>
      <c r="D172" s="211" t="s">
        <v>2059</v>
      </c>
      <c r="E172" s="150" t="s">
        <v>760</v>
      </c>
      <c r="F172" s="275">
        <v>8.9963301019E10</v>
      </c>
      <c r="G172" s="273" t="s">
        <v>2060</v>
      </c>
      <c r="H172" s="211" t="s">
        <v>2061</v>
      </c>
      <c r="I172" s="211" t="s">
        <v>2062</v>
      </c>
      <c r="J172" s="211" t="s">
        <v>2063</v>
      </c>
      <c r="K172" s="211" t="s">
        <v>2064</v>
      </c>
      <c r="L172" s="191"/>
      <c r="M172" s="161" t="s">
        <v>2065</v>
      </c>
      <c r="N172" s="194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</row>
    <row r="173">
      <c r="A173" s="185" t="s">
        <v>2066</v>
      </c>
      <c r="B173" s="217"/>
      <c r="C173" s="294">
        <v>201.0</v>
      </c>
      <c r="D173" s="211" t="s">
        <v>1165</v>
      </c>
      <c r="E173" s="211" t="s">
        <v>2067</v>
      </c>
      <c r="F173" s="294">
        <v>8.9167543983E10</v>
      </c>
      <c r="G173" s="307" t="s">
        <v>2068</v>
      </c>
      <c r="H173" s="217" t="s">
        <v>2069</v>
      </c>
      <c r="I173" s="217" t="s">
        <v>2070</v>
      </c>
      <c r="J173" s="217" t="s">
        <v>2071</v>
      </c>
      <c r="K173" s="217" t="s">
        <v>2072</v>
      </c>
      <c r="L173" s="217"/>
      <c r="M173" s="260"/>
      <c r="N173" s="260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</row>
    <row r="174">
      <c r="A174" s="185" t="s">
        <v>2066</v>
      </c>
      <c r="B174" s="272" t="s">
        <v>2073</v>
      </c>
      <c r="C174" s="295">
        <v>423.0</v>
      </c>
      <c r="D174" s="211" t="s">
        <v>2074</v>
      </c>
      <c r="E174" s="260" t="s">
        <v>1029</v>
      </c>
      <c r="F174" s="295">
        <v>8.9167543983E10</v>
      </c>
      <c r="G174" s="299" t="s">
        <v>2075</v>
      </c>
      <c r="H174" s="211" t="s">
        <v>2069</v>
      </c>
      <c r="I174" s="260"/>
      <c r="J174" s="260"/>
      <c r="K174" s="211" t="s">
        <v>2070</v>
      </c>
      <c r="L174" s="260"/>
      <c r="M174" s="217"/>
      <c r="N174" s="217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</row>
    <row r="175">
      <c r="A175" s="179" t="s">
        <v>2076</v>
      </c>
      <c r="B175" s="187" t="s">
        <v>2077</v>
      </c>
      <c r="C175" s="181">
        <v>624.0</v>
      </c>
      <c r="D175" s="150" t="s">
        <v>2078</v>
      </c>
      <c r="E175" s="150" t="s">
        <v>2079</v>
      </c>
      <c r="F175" s="181">
        <v>8.9161185615E10</v>
      </c>
      <c r="G175" s="159" t="s">
        <v>2080</v>
      </c>
      <c r="H175" s="154" t="s">
        <v>2081</v>
      </c>
      <c r="I175" s="191"/>
      <c r="J175" s="191" t="s">
        <v>116</v>
      </c>
      <c r="K175" s="150" t="s">
        <v>2082</v>
      </c>
      <c r="L175" s="150" t="s">
        <v>2083</v>
      </c>
      <c r="M175" s="150" t="s">
        <v>2084</v>
      </c>
      <c r="N175" s="19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</row>
    <row r="176">
      <c r="A176" s="177" t="s">
        <v>2085</v>
      </c>
      <c r="B176" s="191"/>
      <c r="C176" s="197">
        <v>522.0</v>
      </c>
      <c r="D176" s="315" t="s">
        <v>2086</v>
      </c>
      <c r="E176" s="191"/>
      <c r="F176" s="197">
        <v>8.9653780645E10</v>
      </c>
      <c r="G176" s="198" t="s">
        <v>2087</v>
      </c>
      <c r="H176" s="150" t="s">
        <v>2088</v>
      </c>
      <c r="I176" s="150" t="s">
        <v>2089</v>
      </c>
      <c r="J176" s="150" t="s">
        <v>2090</v>
      </c>
      <c r="K176" s="150" t="s">
        <v>2091</v>
      </c>
      <c r="L176" s="191"/>
      <c r="M176" s="150" t="s">
        <v>2092</v>
      </c>
      <c r="N176" s="150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</row>
    <row r="177">
      <c r="A177" s="177" t="s">
        <v>2093</v>
      </c>
      <c r="B177" s="150" t="s">
        <v>2094</v>
      </c>
      <c r="C177" s="197">
        <v>420.0</v>
      </c>
      <c r="D177" s="150" t="s">
        <v>1532</v>
      </c>
      <c r="E177" s="191" t="s">
        <v>1029</v>
      </c>
      <c r="F177" s="197">
        <v>8.9165103515E10</v>
      </c>
      <c r="G177" s="198" t="s">
        <v>2095</v>
      </c>
      <c r="H177" s="150" t="s">
        <v>2096</v>
      </c>
      <c r="I177" s="150" t="s">
        <v>2097</v>
      </c>
      <c r="J177" s="316" t="s">
        <v>2098</v>
      </c>
      <c r="K177" s="150" t="s">
        <v>2099</v>
      </c>
      <c r="L177" s="191"/>
      <c r="M177" s="191"/>
      <c r="N177" s="191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</row>
    <row r="178">
      <c r="A178" s="177" t="s">
        <v>2093</v>
      </c>
      <c r="B178" s="150" t="s">
        <v>2094</v>
      </c>
      <c r="C178" s="197">
        <v>420.0</v>
      </c>
      <c r="D178" s="150" t="s">
        <v>1532</v>
      </c>
      <c r="E178" s="150" t="s">
        <v>2100</v>
      </c>
      <c r="F178" s="197">
        <v>8.9165103515E10</v>
      </c>
      <c r="G178" s="198" t="s">
        <v>2095</v>
      </c>
      <c r="H178" s="150" t="s">
        <v>2096</v>
      </c>
      <c r="I178" s="150" t="s">
        <v>2097</v>
      </c>
      <c r="J178" s="316" t="s">
        <v>2098</v>
      </c>
      <c r="K178" s="150" t="s">
        <v>2099</v>
      </c>
      <c r="L178" s="191"/>
      <c r="M178" s="191"/>
      <c r="N178" s="19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55"/>
    </row>
    <row r="179">
      <c r="A179" s="185" t="s">
        <v>2101</v>
      </c>
      <c r="B179" s="187" t="s">
        <v>2102</v>
      </c>
      <c r="C179" s="186">
        <v>616.0</v>
      </c>
      <c r="D179" s="191"/>
      <c r="E179" s="150" t="s">
        <v>1324</v>
      </c>
      <c r="F179" s="219">
        <v>8.962810177E10</v>
      </c>
      <c r="G179" s="193" t="s">
        <v>2103</v>
      </c>
      <c r="H179" s="150" t="s">
        <v>2104</v>
      </c>
      <c r="I179" s="191"/>
      <c r="J179" s="150" t="s">
        <v>2105</v>
      </c>
      <c r="K179" s="150" t="s">
        <v>2106</v>
      </c>
      <c r="L179" s="191"/>
      <c r="M179" s="194"/>
      <c r="N179" s="194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55"/>
    </row>
    <row r="180">
      <c r="A180" s="185" t="s">
        <v>2107</v>
      </c>
      <c r="B180" s="272" t="s">
        <v>2108</v>
      </c>
      <c r="C180" s="295">
        <v>428.0</v>
      </c>
      <c r="D180" s="211" t="s">
        <v>50</v>
      </c>
      <c r="E180" s="272" t="s">
        <v>924</v>
      </c>
      <c r="F180" s="295">
        <v>8.9098564501E10</v>
      </c>
      <c r="G180" s="296" t="s">
        <v>2109</v>
      </c>
      <c r="H180" s="272" t="s">
        <v>2110</v>
      </c>
      <c r="I180" s="260"/>
      <c r="J180" s="260"/>
      <c r="K180" s="211" t="s">
        <v>2111</v>
      </c>
      <c r="L180" s="211" t="s">
        <v>2112</v>
      </c>
      <c r="M180" s="161" t="s">
        <v>2113</v>
      </c>
      <c r="N180" s="194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</row>
    <row r="181">
      <c r="A181" s="177" t="s">
        <v>2114</v>
      </c>
      <c r="B181" s="211" t="s">
        <v>2115</v>
      </c>
      <c r="C181" s="210">
        <v>511.0</v>
      </c>
      <c r="D181" s="211" t="s">
        <v>2116</v>
      </c>
      <c r="E181" s="260" t="s">
        <v>1029</v>
      </c>
      <c r="F181" s="289">
        <v>8.964560293E10</v>
      </c>
      <c r="G181" s="273" t="s">
        <v>2117</v>
      </c>
      <c r="H181" s="317" t="s">
        <v>2118</v>
      </c>
      <c r="I181" s="260"/>
      <c r="J181" s="318" t="s">
        <v>2119</v>
      </c>
      <c r="K181" s="260"/>
      <c r="L181" s="318" t="s">
        <v>2120</v>
      </c>
      <c r="M181" s="194"/>
      <c r="N181" s="196" t="s">
        <v>2121</v>
      </c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</row>
    <row r="182">
      <c r="A182" s="177" t="s">
        <v>2122</v>
      </c>
      <c r="B182" s="260"/>
      <c r="C182" s="210" t="s">
        <v>116</v>
      </c>
      <c r="D182" s="260"/>
      <c r="E182" s="260"/>
      <c r="F182" s="210">
        <v>8.985184973E10</v>
      </c>
      <c r="G182" s="273" t="s">
        <v>2123</v>
      </c>
      <c r="H182" s="319" t="s">
        <v>2124</v>
      </c>
      <c r="I182" s="211" t="s">
        <v>2125</v>
      </c>
      <c r="J182" s="211" t="s">
        <v>2126</v>
      </c>
      <c r="K182" s="211" t="s">
        <v>2127</v>
      </c>
      <c r="L182" s="260"/>
      <c r="M182" s="161" t="s">
        <v>2128</v>
      </c>
      <c r="N182" s="194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55"/>
    </row>
    <row r="183">
      <c r="A183" s="258" t="s">
        <v>2129</v>
      </c>
      <c r="B183" s="311" t="s">
        <v>2130</v>
      </c>
      <c r="C183" s="320">
        <v>501.0</v>
      </c>
      <c r="D183" s="311" t="s">
        <v>2131</v>
      </c>
      <c r="E183" s="311" t="s">
        <v>2132</v>
      </c>
      <c r="F183" s="320">
        <v>8.9778704176E10</v>
      </c>
      <c r="G183" s="321" t="s">
        <v>2133</v>
      </c>
      <c r="H183" s="322" t="s">
        <v>2134</v>
      </c>
      <c r="I183" s="311" t="s">
        <v>2135</v>
      </c>
      <c r="J183" s="311" t="s">
        <v>2136</v>
      </c>
      <c r="K183" s="311" t="s">
        <v>2137</v>
      </c>
      <c r="L183" s="260"/>
      <c r="M183" s="194"/>
      <c r="N183" s="194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</row>
    <row r="184">
      <c r="A184" s="185" t="s">
        <v>2138</v>
      </c>
      <c r="B184" s="272" t="s">
        <v>2139</v>
      </c>
      <c r="C184" s="295">
        <v>207.0</v>
      </c>
      <c r="D184" s="260"/>
      <c r="E184" s="272" t="s">
        <v>2132</v>
      </c>
      <c r="F184" s="298">
        <v>8.9373857647E10</v>
      </c>
      <c r="G184" s="299" t="s">
        <v>2140</v>
      </c>
      <c r="H184" s="272" t="s">
        <v>2141</v>
      </c>
      <c r="I184" s="260"/>
      <c r="J184" s="211" t="s">
        <v>2142</v>
      </c>
      <c r="K184" s="211" t="s">
        <v>2143</v>
      </c>
      <c r="L184" s="211" t="s">
        <v>2144</v>
      </c>
      <c r="M184" s="260"/>
      <c r="N184" s="260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</row>
    <row r="185">
      <c r="A185" s="206" t="s">
        <v>2145</v>
      </c>
      <c r="B185" s="217" t="str">
        <f>LEFT(A185,FIND(CHAR(160),SUBSTITUTE(A185," ",CHAR(160),2)) - 1)</f>
        <v>Новикова Евгения</v>
      </c>
      <c r="C185" s="217"/>
      <c r="D185" s="217"/>
      <c r="E185" s="260" t="s">
        <v>1029</v>
      </c>
      <c r="F185" s="217"/>
      <c r="G185" s="217"/>
      <c r="H185" s="217"/>
      <c r="I185" s="217"/>
      <c r="J185" s="217"/>
      <c r="K185" s="217"/>
      <c r="L185" s="217"/>
      <c r="M185" s="260"/>
      <c r="N185" s="260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55"/>
    </row>
    <row r="186">
      <c r="A186" s="218" t="s">
        <v>2146</v>
      </c>
      <c r="B186" s="211"/>
      <c r="C186" s="210">
        <v>316.0</v>
      </c>
      <c r="D186" s="211" t="s">
        <v>2147</v>
      </c>
      <c r="E186" s="211" t="s">
        <v>2148</v>
      </c>
      <c r="F186" s="289">
        <v>8.9777603367E10</v>
      </c>
      <c r="G186" s="261" t="s">
        <v>2149</v>
      </c>
      <c r="H186" s="290" t="s">
        <v>2150</v>
      </c>
      <c r="I186" s="216" t="s">
        <v>2151</v>
      </c>
      <c r="J186" s="217" t="s">
        <v>2151</v>
      </c>
      <c r="K186" s="216" t="s">
        <v>2151</v>
      </c>
      <c r="L186" s="217"/>
      <c r="M186" s="217"/>
      <c r="N186" s="211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</row>
    <row r="187">
      <c r="A187" s="323" t="s">
        <v>2152</v>
      </c>
      <c r="B187" s="324" t="s">
        <v>2153</v>
      </c>
      <c r="C187" s="210">
        <v>427.0</v>
      </c>
      <c r="D187" s="211" t="s">
        <v>2154</v>
      </c>
      <c r="E187" s="211"/>
      <c r="F187" s="289">
        <v>8.9636397038E10</v>
      </c>
      <c r="G187" s="273" t="s">
        <v>2155</v>
      </c>
      <c r="H187" s="291" t="s">
        <v>2156</v>
      </c>
      <c r="I187" s="318" t="s">
        <v>2157</v>
      </c>
      <c r="J187" s="260" t="s">
        <v>2158</v>
      </c>
      <c r="K187" s="211"/>
      <c r="L187" s="217"/>
      <c r="M187" s="217"/>
      <c r="N187" s="217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</row>
    <row r="188">
      <c r="A188" s="325" t="s">
        <v>2159</v>
      </c>
      <c r="B188" s="191"/>
      <c r="C188" s="197" t="s">
        <v>116</v>
      </c>
      <c r="D188" s="191"/>
      <c r="E188" s="191"/>
      <c r="F188" s="326">
        <v>8.9162977811E10</v>
      </c>
      <c r="G188" s="198" t="s">
        <v>2160</v>
      </c>
      <c r="H188" s="316" t="s">
        <v>2161</v>
      </c>
      <c r="I188" s="150" t="s">
        <v>2162</v>
      </c>
      <c r="J188" s="150" t="s">
        <v>2163</v>
      </c>
      <c r="K188" s="150" t="s">
        <v>2164</v>
      </c>
      <c r="L188" s="191"/>
      <c r="M188" s="217"/>
      <c r="N188" s="217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</row>
    <row r="189">
      <c r="A189" s="185" t="s">
        <v>2165</v>
      </c>
      <c r="B189" s="187" t="s">
        <v>2166</v>
      </c>
      <c r="C189" s="186">
        <v>321.0</v>
      </c>
      <c r="D189" s="150" t="s">
        <v>2167</v>
      </c>
      <c r="E189" s="191" t="s">
        <v>1029</v>
      </c>
      <c r="F189" s="186">
        <v>8.9651811183E10</v>
      </c>
      <c r="G189" s="193" t="s">
        <v>2168</v>
      </c>
      <c r="H189" s="187" t="s">
        <v>2169</v>
      </c>
      <c r="I189" s="191"/>
      <c r="J189" s="191"/>
      <c r="K189" s="150" t="s">
        <v>2170</v>
      </c>
      <c r="L189" s="191"/>
      <c r="M189" s="194"/>
      <c r="N189" s="194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</row>
    <row r="190">
      <c r="A190" s="185" t="s">
        <v>2171</v>
      </c>
      <c r="B190" s="187" t="s">
        <v>2172</v>
      </c>
      <c r="C190" s="186" t="s">
        <v>2173</v>
      </c>
      <c r="D190" s="150" t="s">
        <v>2174</v>
      </c>
      <c r="E190" s="191" t="s">
        <v>1029</v>
      </c>
      <c r="F190" s="186" t="s">
        <v>2175</v>
      </c>
      <c r="G190" s="193" t="str">
        <f>HYPERLINK("http://vk.com/kost_ost", "vk.com/kost_ost")</f>
        <v>vk.com/kost_ost</v>
      </c>
      <c r="H190" s="187" t="s">
        <v>2176</v>
      </c>
      <c r="I190" s="198" t="s">
        <v>2177</v>
      </c>
      <c r="J190" s="191"/>
      <c r="K190" s="150" t="s">
        <v>2178</v>
      </c>
      <c r="L190" s="150" t="s">
        <v>2179</v>
      </c>
      <c r="M190" s="150" t="s">
        <v>2180</v>
      </c>
      <c r="N190" s="19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</row>
    <row r="191">
      <c r="A191" s="218" t="s">
        <v>2181</v>
      </c>
      <c r="B191" s="150" t="str">
        <f t="shared" ref="B191:B192" si="2">LEFT(A191,FIND(CHAR(160),SUBSTITUTE(A191," ",CHAR(160),2)) - 1)</f>
        <v>Павлов Александр</v>
      </c>
      <c r="C191" s="197">
        <v>104.0</v>
      </c>
      <c r="D191" s="150" t="s">
        <v>2182</v>
      </c>
      <c r="E191" s="191" t="s">
        <v>1029</v>
      </c>
      <c r="F191" s="197" t="s">
        <v>2183</v>
      </c>
      <c r="G191" s="205" t="s">
        <v>2184</v>
      </c>
      <c r="H191" s="150" t="s">
        <v>2185</v>
      </c>
      <c r="I191" s="191"/>
      <c r="J191" s="191"/>
      <c r="K191" s="150" t="s">
        <v>2186</v>
      </c>
      <c r="L191" s="191"/>
      <c r="M191" s="150" t="s">
        <v>2187</v>
      </c>
      <c r="N191" s="19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</row>
    <row r="192">
      <c r="A192" s="165" t="s">
        <v>2188</v>
      </c>
      <c r="B192" s="163" t="str">
        <f t="shared" si="2"/>
        <v>Панина Софья</v>
      </c>
      <c r="C192" s="164">
        <v>316.0</v>
      </c>
      <c r="D192" s="165" t="s">
        <v>2189</v>
      </c>
      <c r="E192" s="163" t="str">
        <f t="array" ref="E192">IF(ISERROR(MATCH(1,INDEX(('Списки блоков'!$B$2:$B1010=B192)*(ROW('Списки блоков'!$B$2:$B1010)&lt;&gt;ROW('Списки блоков'!$B$3)),0),0)),"","БДНС,")
&amp;IF(ISERROR(MATCH(1,INDEX(('Списки блоков'!$C$2:$C1010=B192)*(ROW('Списки блоков'!$C$2:$C1010)&lt;&gt;ROW('Списки блоков'!$C$3)),0),0)),"","Видеолаба,")
&amp;IF(ISERROR(MATCH(1,INDEX(('Списки блоков'!$D$2:$D1010=B192)*(ROW('Списки блоков'!$D$2:$D1010)&lt;&gt;ROW('Списки блоков'!$D$3)),0),0)),"","Декораторы,")
&amp;IF(ISERROR(MATCH(1,INDEX(('Списки блоков'!$E$2:$E1010=B192)*(ROW('Списки блоков'!$E$2:$E1010)&lt;&gt;ROW('Списки блоков'!$E$3)),0),0)),"","Дизайн,")
&amp;IF(ISERROR(MATCH(1,INDEX(('Списки блоков'!$F$2:$F1010=B192)*(ROW('Списки блоков'!$F$2:$F1010)&lt;&gt;ROW('Списки блоков'!$F$3)),0),0)),"","Досуг,")
&amp;IF(ISERROR(MATCH(1,INDEX(('Списки блоков'!$G$2:$G1010=B192)*(ROW('Списки блоков'!$G$2:$G1010)&lt;&gt;ROW('Списки блоков'!$G$3)),0),0)),"","Закупки,")
&amp;IF(ISERROR(MATCH(1,INDEX(('Списки блоков'!$H$2:$H1010=B192)*(ROW('Списки блоков'!$H$2:$H1010)&lt;&gt;ROW('Списки блоков'!$H$3)),0),0)),"","ИнфоБлок,")
&amp;IF(ISERROR(MATCH(1,INDEX(('Списки блоков'!$I$2:$I1010=B192)*(ROW('Списки блоков'!$I$2:$I1010)&lt;&gt;ROW('Списки блоков'!$I$3)),0),0)),"","КГ,")
&amp;IF(ISERROR(MATCH(1,INDEX(('Списки блоков'!$J$2:$J1010=B192)*(ROW('Списки блоков'!$J$2:$J1010)&lt;&gt;ROW('Списки блоков'!$J$3)),0),0)),"","МП,")
&amp;IF(ISERROR(MATCH(1,INDEX(('Списки блоков'!$K$2:$K1010=B192)*(ROW('Списки блоков'!$K$2:$K1010)&lt;&gt;ROW('Списки блоков'!$K$3)),0),0)),"","Профорги,")
&amp;IF(ISERROR(MATCH(1,INDEX(('Списки блоков'!$L$2:$L1010=B192)*(ROW('Списки блоков'!$L$2:$L1010)&lt;&gt;ROW('Списки блоков'!$L$3)),0),0)),"","Спонсоры,")
&amp;IF(ISERROR(MATCH(1,INDEX(('Списки блоков'!$M$2:$M1010=B192)*(ROW('Списки блоков'!$M$2:$M1010)&lt;&gt;ROW('Списки блоков'!$M$3)),0),0)),"","Склад,")
&amp;IF(ISERROR(MATCH(1,INDEX(('Списки блоков'!$N$2:$N1010=B192)*(ROW('Списки блоков'!$N$2:$N1010)&lt;&gt;ROW('Списки блоков'!$N$3)),0),0)),"","Сценаристы,")
&amp;IF(ISERROR(MATCH(1,INDEX(('Списки блоков'!$O$2:$O1010=B192)*(ROW('Списки блоков'!$O$2:$O1010)&lt;&gt;ROW('Списки блоков'!$O$3)),0),0)),"","Техники,")
&amp;IF(ISERROR(MATCH(1,INDEX(('Списки блоков'!$P$2:$P1010=B192)*(ROW('Списки блоков'!$P$2:$P1010)&lt;&gt;ROW('Списки блоков'!$P$3)),0),0)),"","УРС,")
&amp;IF(ISERROR(MATCH(1,INDEX(('Списки блоков'!$Q$2:$Q1010=B192)*(ROW('Списки блоков'!$Q$2:$Q1010)&lt;&gt;ROW('Списки блоков'!$Q$3)),0),0)),"","Фото,")
&amp;IF(ISERROR(MATCH(1,INDEX((#REF!=B192)*(ROW(#REF!)&lt;&gt;ROW(#REF!)),0),0)),"","ЭкоБлок,")
&amp;IF(ISERROR(MATCH(1,INDEX(('Списки блоков'!$R$2:$R1010=B192)*(ROW('Списки блоков'!$R$2:$R1010)&lt;&gt;ROW('Списки блоков'!$R$3)),0),0)),"","HR,")
&amp;IF(ISERROR(MATCH(1,INDEX(('Списки блоков'!$S$2:$S1010=B192)*(ROW('Списки блоков'!$S$2:$S1010)&lt;&gt;ROW('Списки блоков'!$S$3)),0),0)),"","Instagram,")
&amp;IF(ISERROR(MATCH(1,INDEX(('Списки блоков'!$T$2:$T1010=B192)*(ROW('Списки блоков'!$T$2:$T1010)&lt;&gt;ROW('Списки блоков'!$T$3)),0),0)),"","Zachёt,")
&amp;IF(ISERROR(MATCH(1,INDEX(('Списки блоков'!$U$2:$U1010=B192)*(ROW('Списки блоков'!$U$2:$U1010)&lt;&gt;ROW('Списки блоков'!$U$3)),0),0)),"","IT,")
&amp;IF(ISERROR(MATCH(1,INDEX(('Списки блоков'!$V$2:$V1010=B192)*(ROW('Списки блоков'!$V$2:$V1010)&lt;&gt;ROW('Списки блоков'!$V$3)),0),0)),"","ДК,")
</f>
        <v/>
      </c>
      <c r="F192" s="162">
        <v>8.9670479354E10</v>
      </c>
      <c r="G192" s="167" t="s">
        <v>2190</v>
      </c>
      <c r="H192" s="165" t="s">
        <v>2191</v>
      </c>
      <c r="I192" s="165" t="s">
        <v>2192</v>
      </c>
      <c r="J192" s="162" t="s">
        <v>22</v>
      </c>
      <c r="K192" s="168"/>
      <c r="L192" s="168"/>
      <c r="M192" s="168"/>
      <c r="N192" s="168"/>
      <c r="AA192" s="161"/>
      <c r="AB192" s="161"/>
      <c r="AC192" s="161"/>
      <c r="AD192" s="161"/>
      <c r="AE192" s="155"/>
    </row>
    <row r="193">
      <c r="A193" s="218" t="s">
        <v>2193</v>
      </c>
      <c r="B193" s="152" t="s">
        <v>2194</v>
      </c>
      <c r="C193" s="197">
        <v>316.0</v>
      </c>
      <c r="D193" s="150" t="s">
        <v>2195</v>
      </c>
      <c r="E193" s="191"/>
      <c r="F193" s="251">
        <v>8.9859126114E10</v>
      </c>
      <c r="G193" s="198" t="s">
        <v>2196</v>
      </c>
      <c r="H193" s="243" t="s">
        <v>2197</v>
      </c>
      <c r="I193" s="200" t="s">
        <v>2198</v>
      </c>
      <c r="J193" s="150" t="s">
        <v>2199</v>
      </c>
      <c r="K193" s="200" t="s">
        <v>2200</v>
      </c>
      <c r="L193" s="191"/>
      <c r="M193" s="191"/>
      <c r="N193" s="191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</row>
    <row r="194">
      <c r="A194" s="218" t="s">
        <v>2201</v>
      </c>
      <c r="B194" s="187" t="s">
        <v>2201</v>
      </c>
      <c r="C194" s="197">
        <v>314.0</v>
      </c>
      <c r="D194" s="150" t="s">
        <v>2202</v>
      </c>
      <c r="E194" s="150" t="s">
        <v>2203</v>
      </c>
      <c r="F194" s="251">
        <f>79169188524</f>
        <v>79169188524</v>
      </c>
      <c r="G194" s="178" t="s">
        <v>2204</v>
      </c>
      <c r="H194" s="191"/>
      <c r="I194" s="191"/>
      <c r="J194" s="191"/>
      <c r="K194" s="191"/>
      <c r="L194" s="191"/>
      <c r="M194" s="191"/>
      <c r="N194" s="191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</row>
    <row r="195">
      <c r="A195" s="185" t="s">
        <v>2205</v>
      </c>
      <c r="B195" s="150"/>
      <c r="C195" s="186">
        <v>217.0</v>
      </c>
      <c r="D195" s="150" t="s">
        <v>2202</v>
      </c>
      <c r="E195" s="150" t="s">
        <v>751</v>
      </c>
      <c r="F195" s="181">
        <v>8.9169188524E10</v>
      </c>
      <c r="G195" s="159" t="s">
        <v>2206</v>
      </c>
      <c r="H195" s="154" t="s">
        <v>2207</v>
      </c>
      <c r="I195" s="154" t="s">
        <v>2208</v>
      </c>
      <c r="J195" s="154" t="s">
        <v>2199</v>
      </c>
      <c r="K195" s="154" t="s">
        <v>2209</v>
      </c>
      <c r="L195" s="154"/>
      <c r="M195" s="191"/>
      <c r="N195" s="150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55"/>
    </row>
    <row r="196">
      <c r="A196" s="177" t="s">
        <v>2210</v>
      </c>
      <c r="B196" s="154"/>
      <c r="C196" s="151">
        <v>521.0</v>
      </c>
      <c r="D196" s="154" t="s">
        <v>2211</v>
      </c>
      <c r="E196" s="150" t="s">
        <v>2212</v>
      </c>
      <c r="F196" s="151">
        <v>8.9995707155E10</v>
      </c>
      <c r="G196" s="178" t="s">
        <v>2213</v>
      </c>
      <c r="H196" s="154" t="s">
        <v>2214</v>
      </c>
      <c r="I196" s="154" t="s">
        <v>2215</v>
      </c>
      <c r="J196" s="154" t="s">
        <v>2215</v>
      </c>
      <c r="K196" s="154" t="s">
        <v>2216</v>
      </c>
      <c r="L196" s="154"/>
      <c r="M196" s="154"/>
      <c r="N196" s="154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</row>
    <row r="197">
      <c r="A197" s="327" t="s">
        <v>2217</v>
      </c>
      <c r="B197" s="152" t="s">
        <v>2217</v>
      </c>
      <c r="C197" s="191"/>
      <c r="D197" s="191"/>
      <c r="E197" s="150" t="s">
        <v>1029</v>
      </c>
      <c r="F197" s="191"/>
      <c r="G197" s="191"/>
      <c r="H197" s="191"/>
      <c r="I197" s="191"/>
      <c r="J197" s="191"/>
      <c r="K197" s="191"/>
      <c r="L197" s="191"/>
      <c r="M197" s="154"/>
      <c r="N197" s="154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</row>
    <row r="198">
      <c r="A198" s="179" t="s">
        <v>2218</v>
      </c>
      <c r="B198" s="187" t="s">
        <v>2219</v>
      </c>
      <c r="C198" s="181">
        <v>402.0</v>
      </c>
      <c r="D198" s="154" t="s">
        <v>670</v>
      </c>
      <c r="E198" s="150" t="s">
        <v>915</v>
      </c>
      <c r="F198" s="251">
        <v>8.9818440728E10</v>
      </c>
      <c r="G198" s="159" t="s">
        <v>2220</v>
      </c>
      <c r="H198" s="154" t="s">
        <v>2221</v>
      </c>
      <c r="I198" s="150"/>
      <c r="J198" s="150" t="s">
        <v>2222</v>
      </c>
      <c r="K198" s="150" t="s">
        <v>2223</v>
      </c>
      <c r="L198" s="150" t="s">
        <v>2224</v>
      </c>
      <c r="M198" s="154"/>
      <c r="N198" s="150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55"/>
    </row>
    <row r="199">
      <c r="A199" s="177" t="s">
        <v>2225</v>
      </c>
      <c r="B199" s="154"/>
      <c r="C199" s="151">
        <v>416.0</v>
      </c>
      <c r="D199" s="154" t="s">
        <v>1465</v>
      </c>
      <c r="E199" s="150" t="s">
        <v>2226</v>
      </c>
      <c r="F199" s="151">
        <v>8.9060906479E10</v>
      </c>
      <c r="G199" s="178" t="s">
        <v>2227</v>
      </c>
      <c r="H199" s="154" t="s">
        <v>2228</v>
      </c>
      <c r="I199" s="154" t="s">
        <v>2229</v>
      </c>
      <c r="J199" s="154" t="s">
        <v>2230</v>
      </c>
      <c r="K199" s="154" t="s">
        <v>2231</v>
      </c>
      <c r="L199" s="154"/>
      <c r="M199" s="191"/>
      <c r="N199" s="150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</row>
    <row r="200">
      <c r="A200" s="177" t="s">
        <v>2232</v>
      </c>
      <c r="B200" s="154"/>
      <c r="C200" s="151" t="s">
        <v>2233</v>
      </c>
      <c r="D200" s="154" t="s">
        <v>2234</v>
      </c>
      <c r="E200" s="154" t="s">
        <v>754</v>
      </c>
      <c r="F200" s="151">
        <v>8.9091571353E10</v>
      </c>
      <c r="G200" s="178" t="s">
        <v>2235</v>
      </c>
      <c r="H200" s="154" t="s">
        <v>2236</v>
      </c>
      <c r="I200" s="154" t="s">
        <v>2237</v>
      </c>
      <c r="J200" s="154" t="s">
        <v>2238</v>
      </c>
      <c r="K200" s="154" t="s">
        <v>2239</v>
      </c>
      <c r="L200" s="154"/>
      <c r="M200" s="154"/>
      <c r="N200" s="154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</row>
    <row r="201">
      <c r="A201" s="165" t="s">
        <v>2240</v>
      </c>
      <c r="B201" s="163" t="str">
        <f t="shared" ref="B201:B202" si="3">LEFT(A201,FIND(CHAR(160),SUBSTITUTE(A201," ",CHAR(160),2)) - 1)</f>
        <v>Пименова Ксения</v>
      </c>
      <c r="C201" s="164">
        <v>303.0</v>
      </c>
      <c r="D201" s="165" t="s">
        <v>2241</v>
      </c>
      <c r="E201" s="163" t="str">
        <f t="array" ref="E201">IF(ISERROR(MATCH(1,INDEX(('Списки блоков'!$B$2:$B1010=B201)*(ROW('Списки блоков'!$B$2:$B1010)&lt;&gt;ROW('Списки блоков'!$B$3)),0),0)),"","БДНС,")
&amp;IF(ISERROR(MATCH(1,INDEX(('Списки блоков'!$C$2:$C1010=B201)*(ROW('Списки блоков'!$C$2:$C1010)&lt;&gt;ROW('Списки блоков'!$C$3)),0),0)),"","Видеолаба,")
&amp;IF(ISERROR(MATCH(1,INDEX(('Списки блоков'!$D$2:$D1010=B201)*(ROW('Списки блоков'!$D$2:$D1010)&lt;&gt;ROW('Списки блоков'!$D$3)),0),0)),"","Декораторы,")
&amp;IF(ISERROR(MATCH(1,INDEX(('Списки блоков'!$E$2:$E1010=B201)*(ROW('Списки блоков'!$E$2:$E1010)&lt;&gt;ROW('Списки блоков'!$E$3)),0),0)),"","Дизайн,")
&amp;IF(ISERROR(MATCH(1,INDEX(('Списки блоков'!$F$2:$F1010=B201)*(ROW('Списки блоков'!$F$2:$F1010)&lt;&gt;ROW('Списки блоков'!$F$3)),0),0)),"","Досуг,")
&amp;IF(ISERROR(MATCH(1,INDEX(('Списки блоков'!$G$2:$G1010=B201)*(ROW('Списки блоков'!$G$2:$G1010)&lt;&gt;ROW('Списки блоков'!$G$3)),0),0)),"","Закупки,")
&amp;IF(ISERROR(MATCH(1,INDEX(('Списки блоков'!$H$2:$H1010=B201)*(ROW('Списки блоков'!$H$2:$H1010)&lt;&gt;ROW('Списки блоков'!$H$3)),0),0)),"","ИнфоБлок,")
&amp;IF(ISERROR(MATCH(1,INDEX(('Списки блоков'!$I$2:$I1010=B201)*(ROW('Списки блоков'!$I$2:$I1010)&lt;&gt;ROW('Списки блоков'!$I$3)),0),0)),"","КГ,")
&amp;IF(ISERROR(MATCH(1,INDEX(('Списки блоков'!$J$2:$J1010=B201)*(ROW('Списки блоков'!$J$2:$J1010)&lt;&gt;ROW('Списки блоков'!$J$3)),0),0)),"","МП,")
&amp;IF(ISERROR(MATCH(1,INDEX(('Списки блоков'!$K$2:$K1010=B201)*(ROW('Списки блоков'!$K$2:$K1010)&lt;&gt;ROW('Списки блоков'!$K$3)),0),0)),"","Профорги,")
&amp;IF(ISERROR(MATCH(1,INDEX(('Списки блоков'!$L$2:$L1010=B201)*(ROW('Списки блоков'!$L$2:$L1010)&lt;&gt;ROW('Списки блоков'!$L$3)),0),0)),"","Спонсоры,")
&amp;IF(ISERROR(MATCH(1,INDEX(('Списки блоков'!$M$2:$M1010=B201)*(ROW('Списки блоков'!$M$2:$M1010)&lt;&gt;ROW('Списки блоков'!$M$3)),0),0)),"","Склад,")
&amp;IF(ISERROR(MATCH(1,INDEX(('Списки блоков'!$N$2:$N1010=B201)*(ROW('Списки блоков'!$N$2:$N1010)&lt;&gt;ROW('Списки блоков'!$N$3)),0),0)),"","Сценаристы,")
&amp;IF(ISERROR(MATCH(1,INDEX(('Списки блоков'!$O$2:$O1010=B201)*(ROW('Списки блоков'!$O$2:$O1010)&lt;&gt;ROW('Списки блоков'!$O$3)),0),0)),"","Техники,")
&amp;IF(ISERROR(MATCH(1,INDEX(('Списки блоков'!$P$2:$P1010=B201)*(ROW('Списки блоков'!$P$2:$P1010)&lt;&gt;ROW('Списки блоков'!$P$3)),0),0)),"","УРС,")
&amp;IF(ISERROR(MATCH(1,INDEX(('Списки блоков'!$Q$2:$Q1010=B201)*(ROW('Списки блоков'!$Q$2:$Q1010)&lt;&gt;ROW('Списки блоков'!$Q$3)),0),0)),"","Фото,")
&amp;IF(ISERROR(MATCH(1,INDEX((#REF!=B201)*(ROW(#REF!)&lt;&gt;ROW(#REF!)),0),0)),"","ЭкоБлок,")
&amp;IF(ISERROR(MATCH(1,INDEX(('Списки блоков'!$R$2:$R1010=B201)*(ROW('Списки блоков'!$R$2:$R1010)&lt;&gt;ROW('Списки блоков'!$R$3)),0),0)),"","HR,")
&amp;IF(ISERROR(MATCH(1,INDEX(('Списки блоков'!$S$2:$S1010=B201)*(ROW('Списки блоков'!$S$2:$S1010)&lt;&gt;ROW('Списки блоков'!$S$3)),0),0)),"","Instagram,")
&amp;IF(ISERROR(MATCH(1,INDEX(('Списки блоков'!$T$2:$T1010=B201)*(ROW('Списки блоков'!$T$2:$T1010)&lt;&gt;ROW('Списки блоков'!$T$3)),0),0)),"","Zachёt,")
&amp;IF(ISERROR(MATCH(1,INDEX(('Списки блоков'!$U$2:$U1010=B201)*(ROW('Списки блоков'!$U$2:$U1010)&lt;&gt;ROW('Списки блоков'!$U$3)),0),0)),"","IT,")
&amp;IF(ISERROR(MATCH(1,INDEX(('Списки блоков'!$V$2:$V1010=B201)*(ROW('Списки блоков'!$V$2:$V1010)&lt;&gt;ROW('Списки блоков'!$V$3)),0),0)),"","ДК,")
</f>
        <v/>
      </c>
      <c r="F201" s="304">
        <v>8.9168626557E10</v>
      </c>
      <c r="G201" s="167" t="s">
        <v>2242</v>
      </c>
      <c r="H201" s="165" t="s">
        <v>2243</v>
      </c>
      <c r="I201" s="165" t="s">
        <v>2244</v>
      </c>
      <c r="J201" s="162" t="s">
        <v>22</v>
      </c>
      <c r="K201" s="168"/>
      <c r="L201" s="168"/>
      <c r="M201" s="168"/>
      <c r="N201" s="168"/>
      <c r="AA201" s="155"/>
      <c r="AB201" s="155"/>
      <c r="AC201" s="155"/>
      <c r="AD201" s="155"/>
      <c r="AE201" s="155"/>
    </row>
    <row r="202">
      <c r="A202" s="165" t="s">
        <v>2245</v>
      </c>
      <c r="B202" s="163" t="str">
        <f t="shared" si="3"/>
        <v>Пионткевич Анастасия</v>
      </c>
      <c r="C202" s="164">
        <v>530.0</v>
      </c>
      <c r="D202" s="165" t="s">
        <v>670</v>
      </c>
      <c r="E202" s="163" t="str">
        <f t="array" ref="E202">IF(ISERROR(MATCH(1,INDEX(('Списки блоков'!$B$2:$B1010=B202)*(ROW('Списки блоков'!$B$2:$B1010)&lt;&gt;ROW('Списки блоков'!$B$3)),0),0)),"","БДНС,")
&amp;IF(ISERROR(MATCH(1,INDEX(('Списки блоков'!$C$2:$C1010=B202)*(ROW('Списки блоков'!$C$2:$C1010)&lt;&gt;ROW('Списки блоков'!$C$3)),0),0)),"","Видеолаба,")
&amp;IF(ISERROR(MATCH(1,INDEX(('Списки блоков'!$D$2:$D1010=B202)*(ROW('Списки блоков'!$D$2:$D1010)&lt;&gt;ROW('Списки блоков'!$D$3)),0),0)),"","Декораторы,")
&amp;IF(ISERROR(MATCH(1,INDEX(('Списки блоков'!$E$2:$E1010=B202)*(ROW('Списки блоков'!$E$2:$E1010)&lt;&gt;ROW('Списки блоков'!$E$3)),0),0)),"","Дизайн,")
&amp;IF(ISERROR(MATCH(1,INDEX(('Списки блоков'!$F$2:$F1010=B202)*(ROW('Списки блоков'!$F$2:$F1010)&lt;&gt;ROW('Списки блоков'!$F$3)),0),0)),"","Досуг,")
&amp;IF(ISERROR(MATCH(1,INDEX(('Списки блоков'!$G$2:$G1010=B202)*(ROW('Списки блоков'!$G$2:$G1010)&lt;&gt;ROW('Списки блоков'!$G$3)),0),0)),"","Закупки,")
&amp;IF(ISERROR(MATCH(1,INDEX(('Списки блоков'!$H$2:$H1010=B202)*(ROW('Списки блоков'!$H$2:$H1010)&lt;&gt;ROW('Списки блоков'!$H$3)),0),0)),"","ИнфоБлок,")
&amp;IF(ISERROR(MATCH(1,INDEX(('Списки блоков'!$I$2:$I1010=B202)*(ROW('Списки блоков'!$I$2:$I1010)&lt;&gt;ROW('Списки блоков'!$I$3)),0),0)),"","КГ,")
&amp;IF(ISERROR(MATCH(1,INDEX(('Списки блоков'!$J$2:$J1010=B202)*(ROW('Списки блоков'!$J$2:$J1010)&lt;&gt;ROW('Списки блоков'!$J$3)),0),0)),"","МП,")
&amp;IF(ISERROR(MATCH(1,INDEX(('Списки блоков'!$K$2:$K1010=B202)*(ROW('Списки блоков'!$K$2:$K1010)&lt;&gt;ROW('Списки блоков'!$K$3)),0),0)),"","Профорги,")
&amp;IF(ISERROR(MATCH(1,INDEX(('Списки блоков'!$L$2:$L1010=B202)*(ROW('Списки блоков'!$L$2:$L1010)&lt;&gt;ROW('Списки блоков'!$L$3)),0),0)),"","Спонсоры,")
&amp;IF(ISERROR(MATCH(1,INDEX(('Списки блоков'!$M$2:$M1010=B202)*(ROW('Списки блоков'!$M$2:$M1010)&lt;&gt;ROW('Списки блоков'!$M$3)),0),0)),"","Склад,")
&amp;IF(ISERROR(MATCH(1,INDEX(('Списки блоков'!$N$2:$N1010=B202)*(ROW('Списки блоков'!$N$2:$N1010)&lt;&gt;ROW('Списки блоков'!$N$3)),0),0)),"","Сценаристы,")
&amp;IF(ISERROR(MATCH(1,INDEX(('Списки блоков'!$O$2:$O1010=B202)*(ROW('Списки блоков'!$O$2:$O1010)&lt;&gt;ROW('Списки блоков'!$O$3)),0),0)),"","Техники,")
&amp;IF(ISERROR(MATCH(1,INDEX(('Списки блоков'!$P$2:$P1010=B202)*(ROW('Списки блоков'!$P$2:$P1010)&lt;&gt;ROW('Списки блоков'!$P$3)),0),0)),"","УРС,")
&amp;IF(ISERROR(MATCH(1,INDEX(('Списки блоков'!$Q$2:$Q1010=B202)*(ROW('Списки блоков'!$Q$2:$Q1010)&lt;&gt;ROW('Списки блоков'!$Q$3)),0),0)),"","Фото,")
&amp;IF(ISERROR(MATCH(1,INDEX((#REF!=B202)*(ROW(#REF!)&lt;&gt;ROW(#REF!)),0),0)),"","ЭкоБлок,")
&amp;IF(ISERROR(MATCH(1,INDEX(('Списки блоков'!$R$2:$R1010=B202)*(ROW('Списки блоков'!$R$2:$R1010)&lt;&gt;ROW('Списки блоков'!$R$3)),0),0)),"","HR,")
&amp;IF(ISERROR(MATCH(1,INDEX(('Списки блоков'!$S$2:$S1010=B202)*(ROW('Списки блоков'!$S$2:$S1010)&lt;&gt;ROW('Списки блоков'!$S$3)),0),0)),"","Instagram,")
&amp;IF(ISERROR(MATCH(1,INDEX(('Списки блоков'!$T$2:$T1010=B202)*(ROW('Списки блоков'!$T$2:$T1010)&lt;&gt;ROW('Списки блоков'!$T$3)),0),0)),"","Zachёt,")
&amp;IF(ISERROR(MATCH(1,INDEX(('Списки блоков'!$U$2:$U1010=B202)*(ROW('Списки блоков'!$U$2:$U1010)&lt;&gt;ROW('Списки блоков'!$U$3)),0),0)),"","IT,")
&amp;IF(ISERROR(MATCH(1,INDEX(('Списки блоков'!$V$2:$V1010=B202)*(ROW('Списки блоков'!$V$2:$V1010)&lt;&gt;ROW('Списки блоков'!$V$3)),0),0)),"","ДК,")
</f>
        <v/>
      </c>
      <c r="F202" s="164">
        <v>8.9603472118E10</v>
      </c>
      <c r="G202" s="167" t="s">
        <v>2246</v>
      </c>
      <c r="H202" s="167" t="s">
        <v>2247</v>
      </c>
      <c r="I202" s="165" t="s">
        <v>2248</v>
      </c>
      <c r="J202" s="162" t="s">
        <v>22</v>
      </c>
      <c r="K202" s="168"/>
      <c r="L202" s="168"/>
      <c r="M202" s="168"/>
      <c r="N202" s="168"/>
      <c r="AA202" s="155"/>
      <c r="AB202" s="155"/>
      <c r="AC202" s="155"/>
      <c r="AD202" s="155"/>
      <c r="AE202" s="155"/>
    </row>
    <row r="203">
      <c r="A203" s="218" t="s">
        <v>2249</v>
      </c>
      <c r="B203" s="152" t="s">
        <v>2250</v>
      </c>
      <c r="C203" s="151">
        <v>421.0</v>
      </c>
      <c r="D203" s="154" t="s">
        <v>2251</v>
      </c>
      <c r="E203" s="150" t="s">
        <v>2252</v>
      </c>
      <c r="F203" s="219">
        <v>8.9255611545E10</v>
      </c>
      <c r="G203" s="178" t="s">
        <v>2253</v>
      </c>
      <c r="H203" s="238" t="s">
        <v>2254</v>
      </c>
      <c r="I203" s="208" t="s">
        <v>2255</v>
      </c>
      <c r="J203" s="154" t="s">
        <v>2256</v>
      </c>
      <c r="K203" s="207" t="s">
        <v>2257</v>
      </c>
      <c r="L203" s="191"/>
      <c r="M203" s="154"/>
      <c r="N203" s="154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</row>
    <row r="204">
      <c r="A204" s="185" t="s">
        <v>2258</v>
      </c>
      <c r="B204" s="187" t="s">
        <v>2259</v>
      </c>
      <c r="C204" s="186">
        <v>403.0</v>
      </c>
      <c r="D204" s="150" t="s">
        <v>670</v>
      </c>
      <c r="E204" s="187" t="s">
        <v>1920</v>
      </c>
      <c r="F204" s="186">
        <v>8.9290061214E10</v>
      </c>
      <c r="G204" s="193" t="s">
        <v>2260</v>
      </c>
      <c r="H204" s="187" t="s">
        <v>2261</v>
      </c>
      <c r="I204" s="191"/>
      <c r="J204" s="191"/>
      <c r="K204" s="150" t="s">
        <v>2262</v>
      </c>
      <c r="L204" s="150" t="s">
        <v>2263</v>
      </c>
      <c r="M204" s="154"/>
      <c r="N204" s="150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55"/>
    </row>
    <row r="205">
      <c r="A205" s="177" t="s">
        <v>2264</v>
      </c>
      <c r="B205" s="150" t="s">
        <v>2265</v>
      </c>
      <c r="C205" s="197">
        <v>604.0</v>
      </c>
      <c r="D205" s="150" t="s">
        <v>2266</v>
      </c>
      <c r="E205" s="150" t="s">
        <v>1317</v>
      </c>
      <c r="F205" s="197">
        <v>8.9152743944E10</v>
      </c>
      <c r="G205" s="198" t="s">
        <v>2267</v>
      </c>
      <c r="H205" s="150" t="s">
        <v>2268</v>
      </c>
      <c r="I205" s="191"/>
      <c r="J205" s="150" t="s">
        <v>2269</v>
      </c>
      <c r="K205" s="150" t="s">
        <v>2270</v>
      </c>
      <c r="L205" s="150" t="s">
        <v>2271</v>
      </c>
      <c r="M205" s="190" t="s">
        <v>2272</v>
      </c>
      <c r="N205" s="191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</row>
    <row r="206">
      <c r="A206" s="218" t="s">
        <v>2273</v>
      </c>
      <c r="B206" s="191"/>
      <c r="C206" s="197">
        <v>323.0</v>
      </c>
      <c r="D206" s="150" t="s">
        <v>1888</v>
      </c>
      <c r="E206" s="150" t="s">
        <v>2067</v>
      </c>
      <c r="F206" s="219">
        <v>8.9262326334E10</v>
      </c>
      <c r="G206" s="198" t="s">
        <v>2274</v>
      </c>
      <c r="H206" s="243" t="s">
        <v>2275</v>
      </c>
      <c r="I206" s="200" t="s">
        <v>2276</v>
      </c>
      <c r="J206" s="150" t="s">
        <v>2277</v>
      </c>
      <c r="K206" s="249" t="s">
        <v>2277</v>
      </c>
      <c r="L206" s="191"/>
      <c r="M206" s="152" t="s">
        <v>2278</v>
      </c>
      <c r="N206" s="150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</row>
    <row r="207">
      <c r="A207" s="177" t="s">
        <v>2279</v>
      </c>
      <c r="B207" s="191"/>
      <c r="C207" s="197">
        <v>417.0</v>
      </c>
      <c r="D207" s="150" t="s">
        <v>670</v>
      </c>
      <c r="E207" s="150" t="s">
        <v>752</v>
      </c>
      <c r="F207" s="197">
        <v>8.9508385038E10</v>
      </c>
      <c r="G207" s="198" t="s">
        <v>2280</v>
      </c>
      <c r="H207" s="150" t="s">
        <v>2281</v>
      </c>
      <c r="I207" s="200" t="s">
        <v>2282</v>
      </c>
      <c r="J207" s="150" t="s">
        <v>2283</v>
      </c>
      <c r="K207" s="150" t="s">
        <v>2284</v>
      </c>
      <c r="L207" s="191"/>
      <c r="M207" s="191"/>
      <c r="N207" s="191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</row>
    <row r="208">
      <c r="A208" s="177" t="s">
        <v>2285</v>
      </c>
      <c r="B208" s="150" t="s">
        <v>2285</v>
      </c>
      <c r="C208" s="191"/>
      <c r="D208" s="191"/>
      <c r="E208" s="191" t="s">
        <v>1029</v>
      </c>
      <c r="F208" s="191"/>
      <c r="G208" s="191"/>
      <c r="H208" s="191"/>
      <c r="I208" s="191"/>
      <c r="J208" s="191"/>
      <c r="K208" s="191"/>
      <c r="L208" s="191"/>
      <c r="M208" s="191"/>
      <c r="N208" s="191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</row>
    <row r="209">
      <c r="A209" s="185" t="s">
        <v>2286</v>
      </c>
      <c r="B209" s="150" t="s">
        <v>2287</v>
      </c>
      <c r="C209" s="186">
        <v>211.0</v>
      </c>
      <c r="D209" s="187" t="s">
        <v>50</v>
      </c>
      <c r="E209" s="191" t="s">
        <v>1029</v>
      </c>
      <c r="F209" s="186" t="s">
        <v>2288</v>
      </c>
      <c r="G209" s="198" t="s">
        <v>2289</v>
      </c>
      <c r="H209" s="150" t="s">
        <v>2290</v>
      </c>
      <c r="I209" s="191"/>
      <c r="J209" s="191"/>
      <c r="K209" s="198" t="s">
        <v>2291</v>
      </c>
      <c r="L209" s="191"/>
      <c r="M209" s="191"/>
      <c r="N209" s="19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55"/>
    </row>
    <row r="210">
      <c r="A210" s="185" t="s">
        <v>2292</v>
      </c>
      <c r="B210" s="187" t="s">
        <v>2293</v>
      </c>
      <c r="C210" s="186">
        <v>428.0</v>
      </c>
      <c r="D210" s="150" t="s">
        <v>2294</v>
      </c>
      <c r="E210" s="191" t="s">
        <v>1029</v>
      </c>
      <c r="F210" s="186">
        <v>8.9022358732E10</v>
      </c>
      <c r="G210" s="190" t="s">
        <v>2295</v>
      </c>
      <c r="H210" s="150" t="s">
        <v>2296</v>
      </c>
      <c r="I210" s="191"/>
      <c r="J210" s="191"/>
      <c r="K210" s="150" t="s">
        <v>2297</v>
      </c>
      <c r="L210" s="150" t="s">
        <v>2298</v>
      </c>
      <c r="M210" s="190" t="s">
        <v>2299</v>
      </c>
      <c r="N210" s="191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</row>
    <row r="211">
      <c r="A211" s="185" t="s">
        <v>2300</v>
      </c>
      <c r="B211" s="150" t="s">
        <v>2301</v>
      </c>
      <c r="C211" s="186">
        <v>212.0</v>
      </c>
      <c r="D211" s="187" t="s">
        <v>2302</v>
      </c>
      <c r="E211" s="187" t="s">
        <v>1524</v>
      </c>
      <c r="F211" s="186" t="s">
        <v>2303</v>
      </c>
      <c r="G211" s="193" t="s">
        <v>2304</v>
      </c>
      <c r="H211" s="187" t="s">
        <v>2305</v>
      </c>
      <c r="I211" s="191"/>
      <c r="J211" s="191"/>
      <c r="K211" s="150" t="s">
        <v>2306</v>
      </c>
      <c r="L211" s="150" t="s">
        <v>2307</v>
      </c>
      <c r="M211" s="150" t="s">
        <v>2308</v>
      </c>
      <c r="N211" s="19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55"/>
    </row>
    <row r="212">
      <c r="A212" s="227" t="s">
        <v>2309</v>
      </c>
      <c r="B212" s="211" t="s">
        <v>2310</v>
      </c>
      <c r="C212" s="328">
        <v>209.0</v>
      </c>
      <c r="D212" s="260"/>
      <c r="E212" s="260" t="s">
        <v>1029</v>
      </c>
      <c r="F212" s="329" t="s">
        <v>2311</v>
      </c>
      <c r="G212" s="296" t="s">
        <v>2312</v>
      </c>
      <c r="H212" s="329" t="s">
        <v>2313</v>
      </c>
      <c r="I212" s="260"/>
      <c r="J212" s="260"/>
      <c r="K212" s="211" t="s">
        <v>2314</v>
      </c>
      <c r="L212" s="211" t="s">
        <v>2315</v>
      </c>
      <c r="M212" s="211" t="s">
        <v>2316</v>
      </c>
      <c r="N212" s="260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</row>
    <row r="213">
      <c r="A213" s="330" t="s">
        <v>2317</v>
      </c>
      <c r="B213" s="331" t="s">
        <v>2318</v>
      </c>
      <c r="C213" s="332">
        <v>209.0</v>
      </c>
      <c r="D213" s="333"/>
      <c r="E213" s="334" t="s">
        <v>1029</v>
      </c>
      <c r="F213" s="335">
        <v>8.985477901E10</v>
      </c>
      <c r="G213" s="336" t="s">
        <v>2319</v>
      </c>
      <c r="H213" s="337" t="s">
        <v>2320</v>
      </c>
      <c r="I213" s="334"/>
      <c r="J213" s="334"/>
      <c r="K213" s="334"/>
      <c r="L213" s="331" t="s">
        <v>2321</v>
      </c>
      <c r="M213" s="334"/>
      <c r="N213" s="334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</row>
    <row r="214">
      <c r="A214" s="338" t="s">
        <v>2322</v>
      </c>
      <c r="B214" s="334"/>
      <c r="C214" s="339">
        <v>424.0</v>
      </c>
      <c r="D214" s="331" t="s">
        <v>2323</v>
      </c>
      <c r="E214" s="331" t="s">
        <v>743</v>
      </c>
      <c r="F214" s="339">
        <v>8.9779058136E10</v>
      </c>
      <c r="G214" s="340" t="s">
        <v>2324</v>
      </c>
      <c r="H214" s="331" t="s">
        <v>2325</v>
      </c>
      <c r="I214" s="331" t="s">
        <v>2326</v>
      </c>
      <c r="J214" s="331" t="s">
        <v>2327</v>
      </c>
      <c r="K214" s="331" t="s">
        <v>2328</v>
      </c>
      <c r="L214" s="334"/>
      <c r="M214" s="334"/>
      <c r="N214" s="334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</row>
    <row r="215">
      <c r="A215" s="341" t="s">
        <v>2329</v>
      </c>
      <c r="B215" s="331" t="s">
        <v>2330</v>
      </c>
      <c r="C215" s="339">
        <v>622.0</v>
      </c>
      <c r="D215" s="331" t="s">
        <v>2331</v>
      </c>
      <c r="E215" s="331" t="s">
        <v>2332</v>
      </c>
      <c r="F215" s="339">
        <v>8.9307036637E10</v>
      </c>
      <c r="G215" s="342" t="s">
        <v>2333</v>
      </c>
      <c r="H215" s="343" t="s">
        <v>2334</v>
      </c>
      <c r="I215" s="340" t="s">
        <v>2335</v>
      </c>
      <c r="J215" s="331" t="s">
        <v>2336</v>
      </c>
      <c r="K215" s="331" t="s">
        <v>2337</v>
      </c>
      <c r="L215" s="331" t="s">
        <v>2337</v>
      </c>
      <c r="M215" s="334"/>
      <c r="N215" s="334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</row>
    <row r="216">
      <c r="A216" s="177" t="s">
        <v>2338</v>
      </c>
      <c r="B216" s="191"/>
      <c r="C216" s="197">
        <v>412.0</v>
      </c>
      <c r="D216" s="150" t="s">
        <v>2339</v>
      </c>
      <c r="E216" s="150" t="s">
        <v>2340</v>
      </c>
      <c r="F216" s="197">
        <v>8.9154666984E10</v>
      </c>
      <c r="G216" s="198" t="s">
        <v>2341</v>
      </c>
      <c r="H216" s="150" t="s">
        <v>2342</v>
      </c>
      <c r="I216" s="150" t="s">
        <v>2343</v>
      </c>
      <c r="J216" s="150" t="s">
        <v>2344</v>
      </c>
      <c r="K216" s="150" t="s">
        <v>2345</v>
      </c>
      <c r="L216" s="191"/>
      <c r="M216" s="161" t="s">
        <v>2346</v>
      </c>
      <c r="N216" s="198" t="s">
        <v>2347</v>
      </c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</row>
    <row r="217">
      <c r="A217" s="185" t="s">
        <v>2348</v>
      </c>
      <c r="B217" s="187" t="s">
        <v>2349</v>
      </c>
      <c r="C217" s="186">
        <v>314.0</v>
      </c>
      <c r="D217" s="191"/>
      <c r="E217" s="187" t="s">
        <v>1257</v>
      </c>
      <c r="F217" s="186">
        <v>8.9950910529E10</v>
      </c>
      <c r="G217" s="193" t="s">
        <v>2350</v>
      </c>
      <c r="H217" s="187" t="s">
        <v>2351</v>
      </c>
      <c r="I217" s="191"/>
      <c r="J217" s="191"/>
      <c r="K217" s="191"/>
      <c r="L217" s="191"/>
      <c r="M217" s="191"/>
      <c r="N217" s="191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</row>
    <row r="218">
      <c r="A218" s="185" t="s">
        <v>2352</v>
      </c>
      <c r="B218" s="187" t="s">
        <v>2353</v>
      </c>
      <c r="C218" s="186" t="s">
        <v>441</v>
      </c>
      <c r="D218" s="150" t="s">
        <v>2354</v>
      </c>
      <c r="E218" s="150" t="s">
        <v>2355</v>
      </c>
      <c r="F218" s="181">
        <v>8.9060630651E10</v>
      </c>
      <c r="G218" s="178" t="s">
        <v>2356</v>
      </c>
      <c r="H218" s="154" t="s">
        <v>2357</v>
      </c>
      <c r="I218" s="191"/>
      <c r="J218" s="154" t="s">
        <v>2358</v>
      </c>
      <c r="K218" s="154" t="s">
        <v>2359</v>
      </c>
      <c r="L218" s="154" t="s">
        <v>2360</v>
      </c>
      <c r="M218" s="150" t="s">
        <v>2361</v>
      </c>
      <c r="N218" s="19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</row>
    <row r="219">
      <c r="A219" s="185" t="s">
        <v>2362</v>
      </c>
      <c r="B219" s="187" t="s">
        <v>2363</v>
      </c>
      <c r="C219" s="186">
        <v>106.0</v>
      </c>
      <c r="D219" s="344" t="s">
        <v>2364</v>
      </c>
      <c r="E219" s="187" t="s">
        <v>2365</v>
      </c>
      <c r="F219" s="345">
        <v>8.9154572303E10</v>
      </c>
      <c r="G219" s="190" t="s">
        <v>2366</v>
      </c>
      <c r="H219" s="187" t="s">
        <v>2367</v>
      </c>
      <c r="I219" s="150" t="s">
        <v>2368</v>
      </c>
      <c r="J219" s="150" t="s">
        <v>2369</v>
      </c>
      <c r="K219" s="191"/>
      <c r="L219" s="191"/>
      <c r="M219" s="154"/>
      <c r="N219" s="150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55"/>
    </row>
    <row r="220">
      <c r="A220" s="232" t="s">
        <v>2370</v>
      </c>
      <c r="B220" s="163" t="str">
        <f>LEFT(A220,FIND(CHAR(160),SUBSTITUTE(A220," ",CHAR(160),2)) - 1)</f>
        <v>Романова Екатерина</v>
      </c>
      <c r="C220" s="233">
        <v>107.0</v>
      </c>
      <c r="D220" s="163" t="s">
        <v>50</v>
      </c>
      <c r="E220" s="163" t="str">
        <f t="array" ref="E220">IF(ISERROR(MATCH(1,INDEX(('Списки блоков'!$B$2:$B1010=B220)*(ROW('Списки блоков'!$B$2:$B1010)&lt;&gt;ROW('Списки блоков'!$B$3)),0),0)),"","БДНС,")
&amp;IF(ISERROR(MATCH(1,INDEX(('Списки блоков'!$C$2:$C1010=B220)*(ROW('Списки блоков'!$C$2:$C1010)&lt;&gt;ROW('Списки блоков'!$C$3)),0),0)),"","Видеолаба,")
&amp;IF(ISERROR(MATCH(1,INDEX(('Списки блоков'!$D$2:$D1010=B220)*(ROW('Списки блоков'!$D$2:$D1010)&lt;&gt;ROW('Списки блоков'!$D$3)),0),0)),"","Декораторы,")
&amp;IF(ISERROR(MATCH(1,INDEX(('Списки блоков'!$E$2:$E1010=B220)*(ROW('Списки блоков'!$E$2:$E1010)&lt;&gt;ROW('Списки блоков'!$E$3)),0),0)),"","Дизайн,")
&amp;IF(ISERROR(MATCH(1,INDEX(('Списки блоков'!$F$2:$F1010=B220)*(ROW('Списки блоков'!$F$2:$F1010)&lt;&gt;ROW('Списки блоков'!$F$3)),0),0)),"","Досуг,")
&amp;IF(ISERROR(MATCH(1,INDEX(('Списки блоков'!$G$2:$G1010=B220)*(ROW('Списки блоков'!$G$2:$G1010)&lt;&gt;ROW('Списки блоков'!$G$3)),0),0)),"","Закупки,")
&amp;IF(ISERROR(MATCH(1,INDEX(('Списки блоков'!$H$2:$H1010=B220)*(ROW('Списки блоков'!$H$2:$H1010)&lt;&gt;ROW('Списки блоков'!$H$3)),0),0)),"","ИнфоБлок,")
&amp;IF(ISERROR(MATCH(1,INDEX(('Списки блоков'!$I$2:$I1010=B220)*(ROW('Списки блоков'!$I$2:$I1010)&lt;&gt;ROW('Списки блоков'!$I$3)),0),0)),"","КГ,")
&amp;IF(ISERROR(MATCH(1,INDEX(('Списки блоков'!$J$2:$J1010=B220)*(ROW('Списки блоков'!$J$2:$J1010)&lt;&gt;ROW('Списки блоков'!$J$3)),0),0)),"","МП,")
&amp;IF(ISERROR(MATCH(1,INDEX(('Списки блоков'!$K$2:$K1010=B220)*(ROW('Списки блоков'!$K$2:$K1010)&lt;&gt;ROW('Списки блоков'!$K$3)),0),0)),"","Профорги,")
&amp;IF(ISERROR(MATCH(1,INDEX(('Списки блоков'!$L$2:$L1010=B220)*(ROW('Списки блоков'!$L$2:$L1010)&lt;&gt;ROW('Списки блоков'!$L$3)),0),0)),"","Спонсоры,")
&amp;IF(ISERROR(MATCH(1,INDEX(('Списки блоков'!$M$2:$M1010=B220)*(ROW('Списки блоков'!$M$2:$M1010)&lt;&gt;ROW('Списки блоков'!$M$3)),0),0)),"","Склад,")
&amp;IF(ISERROR(MATCH(1,INDEX(('Списки блоков'!$N$2:$N1010=B220)*(ROW('Списки блоков'!$N$2:$N1010)&lt;&gt;ROW('Списки блоков'!$N$3)),0),0)),"","Сценаристы,")
&amp;IF(ISERROR(MATCH(1,INDEX(('Списки блоков'!$O$2:$O1010=B220)*(ROW('Списки блоков'!$O$2:$O1010)&lt;&gt;ROW('Списки блоков'!$O$3)),0),0)),"","Техники,")
&amp;IF(ISERROR(MATCH(1,INDEX(('Списки блоков'!$P$2:$P1010=B220)*(ROW('Списки блоков'!$P$2:$P1010)&lt;&gt;ROW('Списки блоков'!$P$3)),0),0)),"","УРС,")
&amp;IF(ISERROR(MATCH(1,INDEX(('Списки блоков'!$Q$2:$Q1010=B220)*(ROW('Списки блоков'!$Q$2:$Q1010)&lt;&gt;ROW('Списки блоков'!$Q$3)),0),0)),"","Фото,")
&amp;IF(ISERROR(MATCH(1,INDEX((#REF!=B220)*(ROW(#REF!)&lt;&gt;ROW(#REF!)),0),0)),"","ЭкоБлок,")
&amp;IF(ISERROR(MATCH(1,INDEX(('Списки блоков'!$R$2:$R1010=B220)*(ROW('Списки блоков'!$R$2:$R1010)&lt;&gt;ROW('Списки блоков'!$R$3)),0),0)),"","HR,")
&amp;IF(ISERROR(MATCH(1,INDEX(('Списки блоков'!$S$2:$S1010=B220)*(ROW('Списки блоков'!$S$2:$S1010)&lt;&gt;ROW('Списки блоков'!$S$3)),0),0)),"","Instagram,")
&amp;IF(ISERROR(MATCH(1,INDEX(('Списки блоков'!$T$2:$T1010=B220)*(ROW('Списки блоков'!$T$2:$T1010)&lt;&gt;ROW('Списки блоков'!$T$3)),0),0)),"","Zachёt,")
&amp;IF(ISERROR(MATCH(1,INDEX(('Списки блоков'!$U$2:$U1010=B220)*(ROW('Списки блоков'!$U$2:$U1010)&lt;&gt;ROW('Списки блоков'!$U$3)),0),0)),"","IT,")
&amp;IF(ISERROR(MATCH(1,INDEX(('Списки блоков'!$V$2:$V1010=B220)*(ROW('Списки блоков'!$V$2:$V1010)&lt;&gt;ROW('Списки блоков'!$V$3)),0),0)),"","ДК,")
</f>
        <v/>
      </c>
      <c r="F220" s="242">
        <v>8.9639774799E10</v>
      </c>
      <c r="G220" s="235" t="s">
        <v>2371</v>
      </c>
      <c r="H220" s="163" t="s">
        <v>2372</v>
      </c>
      <c r="I220" s="163" t="s">
        <v>2373</v>
      </c>
      <c r="J220" s="232" t="s">
        <v>22</v>
      </c>
      <c r="K220" s="168"/>
      <c r="L220" s="168"/>
      <c r="M220" s="168"/>
      <c r="N220" s="168"/>
      <c r="AA220" s="155"/>
      <c r="AB220" s="155"/>
      <c r="AC220" s="155"/>
      <c r="AD220" s="155"/>
      <c r="AE220" s="155"/>
    </row>
    <row r="221">
      <c r="A221" s="177" t="s">
        <v>2374</v>
      </c>
      <c r="B221" s="150" t="s">
        <v>2375</v>
      </c>
      <c r="C221" s="197">
        <v>630.0</v>
      </c>
      <c r="D221" s="150" t="s">
        <v>2376</v>
      </c>
      <c r="E221" s="150" t="s">
        <v>1257</v>
      </c>
      <c r="F221" s="197">
        <v>8.9262737711E10</v>
      </c>
      <c r="G221" s="198" t="s">
        <v>2377</v>
      </c>
      <c r="H221" s="150" t="s">
        <v>2378</v>
      </c>
      <c r="I221" s="198" t="s">
        <v>2379</v>
      </c>
      <c r="J221" s="150" t="s">
        <v>2380</v>
      </c>
      <c r="K221" s="150" t="s">
        <v>2380</v>
      </c>
      <c r="L221" s="150" t="s">
        <v>2381</v>
      </c>
      <c r="M221" s="191"/>
      <c r="N221" s="19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55"/>
    </row>
    <row r="222">
      <c r="A222" s="185" t="s">
        <v>2382</v>
      </c>
      <c r="B222" s="191"/>
      <c r="C222" s="186">
        <v>219.0</v>
      </c>
      <c r="D222" s="191"/>
      <c r="E222" s="150" t="s">
        <v>2383</v>
      </c>
      <c r="F222" s="186">
        <v>8.9162328878E10</v>
      </c>
      <c r="G222" s="198" t="s">
        <v>2384</v>
      </c>
      <c r="H222" s="150" t="s">
        <v>2385</v>
      </c>
      <c r="I222" s="191"/>
      <c r="J222" s="150" t="s">
        <v>2386</v>
      </c>
      <c r="K222" s="191"/>
      <c r="L222" s="191"/>
      <c r="M222" s="150" t="s">
        <v>2387</v>
      </c>
      <c r="N222" s="19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55"/>
    </row>
    <row r="223">
      <c r="A223" s="149" t="s">
        <v>2388</v>
      </c>
      <c r="B223" s="154" t="s">
        <v>2389</v>
      </c>
      <c r="C223" s="151">
        <v>307.0</v>
      </c>
      <c r="D223" s="154" t="s">
        <v>2390</v>
      </c>
      <c r="E223" s="154" t="s">
        <v>1920</v>
      </c>
      <c r="F223" s="151">
        <f>79319797288</f>
        <v>79319797288</v>
      </c>
      <c r="G223" s="153" t="s">
        <v>2391</v>
      </c>
      <c r="H223" s="346" t="s">
        <v>2392</v>
      </c>
      <c r="I223" s="154"/>
      <c r="J223" s="154"/>
      <c r="K223" s="154" t="s">
        <v>2393</v>
      </c>
      <c r="L223" s="154"/>
      <c r="M223" s="191"/>
      <c r="N223" s="191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</row>
    <row r="224">
      <c r="A224" s="185" t="s">
        <v>2394</v>
      </c>
      <c r="B224" s="187" t="s">
        <v>2395</v>
      </c>
      <c r="C224" s="347">
        <v>404.0</v>
      </c>
      <c r="D224" s="170" t="s">
        <v>2396</v>
      </c>
      <c r="E224" s="172" t="s">
        <v>1246</v>
      </c>
      <c r="F224" s="171">
        <v>8.9658846659E10</v>
      </c>
      <c r="G224" s="189" t="s">
        <v>2397</v>
      </c>
      <c r="H224" s="172" t="s">
        <v>2398</v>
      </c>
      <c r="I224" s="170" t="s">
        <v>2399</v>
      </c>
      <c r="J224" s="170" t="s">
        <v>2400</v>
      </c>
      <c r="K224" s="191"/>
      <c r="L224" s="154"/>
      <c r="M224" s="154"/>
      <c r="N224" s="154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</row>
    <row r="225">
      <c r="A225" s="177" t="s">
        <v>2401</v>
      </c>
      <c r="B225" s="150" t="s">
        <v>2402</v>
      </c>
      <c r="C225" s="197">
        <v>625.0</v>
      </c>
      <c r="D225" s="150" t="s">
        <v>2403</v>
      </c>
      <c r="E225" s="194" t="s">
        <v>1029</v>
      </c>
      <c r="F225" s="197">
        <v>8.9876793158E10</v>
      </c>
      <c r="G225" s="198" t="s">
        <v>2404</v>
      </c>
      <c r="H225" s="150" t="s">
        <v>2405</v>
      </c>
      <c r="I225" s="191"/>
      <c r="J225" s="200" t="s">
        <v>2406</v>
      </c>
      <c r="K225" s="150" t="s">
        <v>2406</v>
      </c>
      <c r="L225" s="150" t="s">
        <v>2406</v>
      </c>
      <c r="M225" s="154"/>
      <c r="N225" s="154"/>
      <c r="O225" s="155"/>
      <c r="P225" s="154"/>
      <c r="Q225" s="154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</row>
    <row r="226">
      <c r="A226" s="185" t="s">
        <v>2407</v>
      </c>
      <c r="B226" s="180" t="s">
        <v>2408</v>
      </c>
      <c r="C226" s="186">
        <v>212.0</v>
      </c>
      <c r="D226" s="150" t="s">
        <v>2409</v>
      </c>
      <c r="E226" s="187" t="s">
        <v>2410</v>
      </c>
      <c r="F226" s="180" t="s">
        <v>2411</v>
      </c>
      <c r="G226" s="189" t="s">
        <v>2412</v>
      </c>
      <c r="H226" s="180" t="s">
        <v>2413</v>
      </c>
      <c r="I226" s="178" t="s">
        <v>2414</v>
      </c>
      <c r="J226" s="191"/>
      <c r="K226" s="191"/>
      <c r="L226" s="191"/>
      <c r="M226" s="191"/>
      <c r="N226" s="19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55"/>
    </row>
    <row r="227">
      <c r="A227" s="236" t="s">
        <v>2415</v>
      </c>
      <c r="B227" s="191"/>
      <c r="C227" s="197">
        <v>315.0</v>
      </c>
      <c r="D227" s="150" t="s">
        <v>2416</v>
      </c>
      <c r="E227" s="150" t="s">
        <v>2417</v>
      </c>
      <c r="F227" s="251">
        <v>8.9637888457E10</v>
      </c>
      <c r="G227" s="198" t="s">
        <v>2418</v>
      </c>
      <c r="H227" s="348" t="s">
        <v>2419</v>
      </c>
      <c r="I227" s="200" t="s">
        <v>2420</v>
      </c>
      <c r="J227" s="150" t="s">
        <v>2421</v>
      </c>
      <c r="K227" s="200" t="s">
        <v>2421</v>
      </c>
      <c r="L227" s="191"/>
      <c r="M227" s="161" t="s">
        <v>2422</v>
      </c>
      <c r="N227" s="150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55"/>
    </row>
    <row r="228">
      <c r="A228" s="185" t="s">
        <v>2423</v>
      </c>
      <c r="B228" s="150" t="s">
        <v>2424</v>
      </c>
      <c r="C228" s="186">
        <v>212.0</v>
      </c>
      <c r="D228" s="187" t="s">
        <v>2425</v>
      </c>
      <c r="E228" s="187" t="s">
        <v>2426</v>
      </c>
      <c r="F228" s="186" t="s">
        <v>2427</v>
      </c>
      <c r="G228" s="190" t="s">
        <v>2428</v>
      </c>
      <c r="H228" s="187" t="s">
        <v>2429</v>
      </c>
      <c r="I228" s="191"/>
      <c r="J228" s="191"/>
      <c r="K228" s="150" t="s">
        <v>2430</v>
      </c>
      <c r="L228" s="150" t="s">
        <v>2431</v>
      </c>
      <c r="M228" s="191"/>
      <c r="N228" s="191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</row>
    <row r="229">
      <c r="A229" s="179" t="s">
        <v>2432</v>
      </c>
      <c r="B229" s="187" t="s">
        <v>2433</v>
      </c>
      <c r="C229" s="186">
        <v>535.0</v>
      </c>
      <c r="D229" s="150" t="s">
        <v>2434</v>
      </c>
      <c r="E229" s="150" t="s">
        <v>2435</v>
      </c>
      <c r="F229" s="181">
        <v>8.9177662177E10</v>
      </c>
      <c r="G229" s="159" t="s">
        <v>2436</v>
      </c>
      <c r="H229" s="154" t="s">
        <v>2437</v>
      </c>
      <c r="I229" s="190" t="s">
        <v>2438</v>
      </c>
      <c r="J229" s="154" t="s">
        <v>2439</v>
      </c>
      <c r="K229" s="154" t="s">
        <v>2439</v>
      </c>
      <c r="L229" s="154" t="s">
        <v>2439</v>
      </c>
      <c r="M229" s="150" t="s">
        <v>2440</v>
      </c>
      <c r="N229" s="191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</row>
    <row r="230">
      <c r="A230" s="218" t="s">
        <v>2441</v>
      </c>
      <c r="B230" s="154"/>
      <c r="C230" s="151">
        <v>311.0</v>
      </c>
      <c r="D230" s="154" t="s">
        <v>1955</v>
      </c>
      <c r="E230" s="154" t="s">
        <v>2442</v>
      </c>
      <c r="F230" s="251">
        <v>8.906784824E10</v>
      </c>
      <c r="G230" s="178" t="s">
        <v>2443</v>
      </c>
      <c r="H230" s="207" t="s">
        <v>2444</v>
      </c>
      <c r="I230" s="208" t="s">
        <v>2445</v>
      </c>
      <c r="J230" s="154" t="s">
        <v>2446</v>
      </c>
      <c r="K230" s="191"/>
      <c r="L230" s="154"/>
      <c r="M230" s="154" t="s">
        <v>2447</v>
      </c>
      <c r="N230" s="150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</row>
    <row r="231">
      <c r="A231" s="149" t="s">
        <v>2448</v>
      </c>
      <c r="B231" s="154" t="s">
        <v>2449</v>
      </c>
      <c r="C231" s="151">
        <v>424.0</v>
      </c>
      <c r="D231" s="154" t="s">
        <v>670</v>
      </c>
      <c r="E231" s="154" t="s">
        <v>1920</v>
      </c>
      <c r="F231" s="151">
        <v>8.9144041338E10</v>
      </c>
      <c r="G231" s="153" t="s">
        <v>2450</v>
      </c>
      <c r="H231" s="154" t="s">
        <v>2451</v>
      </c>
      <c r="I231" s="154"/>
      <c r="J231" s="154"/>
      <c r="K231" s="154" t="s">
        <v>2452</v>
      </c>
      <c r="L231" s="154" t="s">
        <v>2453</v>
      </c>
      <c r="M231" s="154"/>
      <c r="N231" s="154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</row>
    <row r="232">
      <c r="A232" s="165" t="s">
        <v>2454</v>
      </c>
      <c r="B232" s="163" t="str">
        <f>LEFT(A232,FIND(CHAR(160),SUBSTITUTE(A232," ",CHAR(160),2)) - 1)</f>
        <v>Сеник Алексей</v>
      </c>
      <c r="C232" s="164">
        <v>630.0</v>
      </c>
      <c r="D232" s="165" t="s">
        <v>1367</v>
      </c>
      <c r="E232" s="163" t="str">
        <f t="array" ref="E232">IF(ISERROR(MATCH(1,INDEX(('Списки блоков'!$B$2:$B1010=B232)*(ROW('Списки блоков'!$B$2:$B1010)&lt;&gt;ROW('Списки блоков'!$B$3)),0),0)),"","БДНС,")
&amp;IF(ISERROR(MATCH(1,INDEX(('Списки блоков'!$C$2:$C1010=B232)*(ROW('Списки блоков'!$C$2:$C1010)&lt;&gt;ROW('Списки блоков'!$C$3)),0),0)),"","Видеолаба,")
&amp;IF(ISERROR(MATCH(1,INDEX(('Списки блоков'!$D$2:$D1010=B232)*(ROW('Списки блоков'!$D$2:$D1010)&lt;&gt;ROW('Списки блоков'!$D$3)),0),0)),"","Декораторы,")
&amp;IF(ISERROR(MATCH(1,INDEX(('Списки блоков'!$E$2:$E1010=B232)*(ROW('Списки блоков'!$E$2:$E1010)&lt;&gt;ROW('Списки блоков'!$E$3)),0),0)),"","Дизайн,")
&amp;IF(ISERROR(MATCH(1,INDEX(('Списки блоков'!$F$2:$F1010=B232)*(ROW('Списки блоков'!$F$2:$F1010)&lt;&gt;ROW('Списки блоков'!$F$3)),0),0)),"","Досуг,")
&amp;IF(ISERROR(MATCH(1,INDEX(('Списки блоков'!$G$2:$G1010=B232)*(ROW('Списки блоков'!$G$2:$G1010)&lt;&gt;ROW('Списки блоков'!$G$3)),0),0)),"","Закупки,")
&amp;IF(ISERROR(MATCH(1,INDEX(('Списки блоков'!$H$2:$H1010=B232)*(ROW('Списки блоков'!$H$2:$H1010)&lt;&gt;ROW('Списки блоков'!$H$3)),0),0)),"","ИнфоБлок,")
&amp;IF(ISERROR(MATCH(1,INDEX(('Списки блоков'!$I$2:$I1010=B232)*(ROW('Списки блоков'!$I$2:$I1010)&lt;&gt;ROW('Списки блоков'!$I$3)),0),0)),"","КГ,")
&amp;IF(ISERROR(MATCH(1,INDEX(('Списки блоков'!$J$2:$J1010=B232)*(ROW('Списки блоков'!$J$2:$J1010)&lt;&gt;ROW('Списки блоков'!$J$3)),0),0)),"","МП,")
&amp;IF(ISERROR(MATCH(1,INDEX(('Списки блоков'!$K$2:$K1010=B232)*(ROW('Списки блоков'!$K$2:$K1010)&lt;&gt;ROW('Списки блоков'!$K$3)),0),0)),"","Профорги,")
&amp;IF(ISERROR(MATCH(1,INDEX(('Списки блоков'!$L$2:$L1010=B232)*(ROW('Списки блоков'!$L$2:$L1010)&lt;&gt;ROW('Списки блоков'!$L$3)),0),0)),"","Спонсоры,")
&amp;IF(ISERROR(MATCH(1,INDEX(('Списки блоков'!$M$2:$M1010=B232)*(ROW('Списки блоков'!$M$2:$M1010)&lt;&gt;ROW('Списки блоков'!$M$3)),0),0)),"","Склад,")
&amp;IF(ISERROR(MATCH(1,INDEX(('Списки блоков'!$N$2:$N1010=B232)*(ROW('Списки блоков'!$N$2:$N1010)&lt;&gt;ROW('Списки блоков'!$N$3)),0),0)),"","Сценаристы,")
&amp;IF(ISERROR(MATCH(1,INDEX(('Списки блоков'!$O$2:$O1010=B232)*(ROW('Списки блоков'!$O$2:$O1010)&lt;&gt;ROW('Списки блоков'!$O$3)),0),0)),"","Техники,")
&amp;IF(ISERROR(MATCH(1,INDEX(('Списки блоков'!$P$2:$P1010=B232)*(ROW('Списки блоков'!$P$2:$P1010)&lt;&gt;ROW('Списки блоков'!$P$3)),0),0)),"","УРС,")
&amp;IF(ISERROR(MATCH(1,INDEX(('Списки блоков'!$Q$2:$Q1010=B232)*(ROW('Списки блоков'!$Q$2:$Q1010)&lt;&gt;ROW('Списки блоков'!$Q$3)),0),0)),"","Фото,")
&amp;IF(ISERROR(MATCH(1,INDEX((#REF!=B232)*(ROW(#REF!)&lt;&gt;ROW(#REF!)),0),0)),"","ЭкоБлок,")
&amp;IF(ISERROR(MATCH(1,INDEX(('Списки блоков'!$R$2:$R1010=B232)*(ROW('Списки блоков'!$R$2:$R1010)&lt;&gt;ROW('Списки блоков'!$R$3)),0),0)),"","HR,")
&amp;IF(ISERROR(MATCH(1,INDEX(('Списки блоков'!$S$2:$S1010=B232)*(ROW('Списки блоков'!$S$2:$S1010)&lt;&gt;ROW('Списки блоков'!$S$3)),0),0)),"","Instagram,")
&amp;IF(ISERROR(MATCH(1,INDEX(('Списки блоков'!$T$2:$T1010=B232)*(ROW('Списки блоков'!$T$2:$T1010)&lt;&gt;ROW('Списки блоков'!$T$3)),0),0)),"","Zachёt,")
&amp;IF(ISERROR(MATCH(1,INDEX(('Списки блоков'!$U$2:$U1010=B232)*(ROW('Списки блоков'!$U$2:$U1010)&lt;&gt;ROW('Списки блоков'!$U$3)),0),0)),"","IT,")
&amp;IF(ISERROR(MATCH(1,INDEX(('Списки блоков'!$V$2:$V1010=B232)*(ROW('Списки блоков'!$V$2:$V1010)&lt;&gt;ROW('Списки блоков'!$V$3)),0),0)),"","ДК,")
</f>
        <v/>
      </c>
      <c r="F232" s="166">
        <v>8.9511417672E10</v>
      </c>
      <c r="G232" s="167" t="s">
        <v>2455</v>
      </c>
      <c r="H232" s="167" t="s">
        <v>2456</v>
      </c>
      <c r="I232" s="165" t="s">
        <v>2457</v>
      </c>
      <c r="J232" s="162" t="s">
        <v>22</v>
      </c>
      <c r="K232" s="168"/>
      <c r="L232" s="168"/>
      <c r="M232" s="168"/>
      <c r="AA232" s="155"/>
      <c r="AB232" s="155"/>
      <c r="AC232" s="155"/>
      <c r="AD232" s="155"/>
      <c r="AE232" s="155"/>
    </row>
    <row r="233">
      <c r="A233" s="156" t="s">
        <v>2458</v>
      </c>
      <c r="B233" s="154" t="s">
        <v>2459</v>
      </c>
      <c r="C233" s="157">
        <v>102.0</v>
      </c>
      <c r="D233" s="154"/>
      <c r="E233" s="154" t="s">
        <v>1029</v>
      </c>
      <c r="F233" s="160" t="s">
        <v>2460</v>
      </c>
      <c r="G233" s="159" t="s">
        <v>2461</v>
      </c>
      <c r="H233" s="160" t="s">
        <v>2462</v>
      </c>
      <c r="I233" s="154"/>
      <c r="J233" s="154"/>
      <c r="K233" s="154" t="s">
        <v>2463</v>
      </c>
      <c r="L233" s="154"/>
      <c r="M233" s="150"/>
      <c r="N233" s="150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</row>
    <row r="234">
      <c r="A234" s="185" t="s">
        <v>2464</v>
      </c>
      <c r="B234" s="191"/>
      <c r="C234" s="186">
        <v>208.0</v>
      </c>
      <c r="D234" s="150" t="s">
        <v>2465</v>
      </c>
      <c r="E234" s="150" t="s">
        <v>2466</v>
      </c>
      <c r="F234" s="251">
        <v>8.9251405574E10</v>
      </c>
      <c r="G234" s="193" t="s">
        <v>2467</v>
      </c>
      <c r="H234" s="150" t="s">
        <v>2468</v>
      </c>
      <c r="I234" s="191"/>
      <c r="J234" s="150" t="s">
        <v>2469</v>
      </c>
      <c r="K234" s="150" t="s">
        <v>2470</v>
      </c>
      <c r="L234" s="191"/>
      <c r="M234" s="150"/>
      <c r="N234" s="150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</row>
    <row r="235">
      <c r="A235" s="218" t="s">
        <v>2471</v>
      </c>
      <c r="B235" s="152" t="s">
        <v>2472</v>
      </c>
      <c r="C235" s="197">
        <v>421.0</v>
      </c>
      <c r="D235" s="150" t="s">
        <v>2473</v>
      </c>
      <c r="E235" s="191" t="s">
        <v>1029</v>
      </c>
      <c r="F235" s="251">
        <v>8.9164613171E10</v>
      </c>
      <c r="G235" s="198" t="s">
        <v>2474</v>
      </c>
      <c r="H235" s="243" t="s">
        <v>2475</v>
      </c>
      <c r="I235" s="191"/>
      <c r="J235" s="200" t="s">
        <v>2476</v>
      </c>
      <c r="K235" s="150" t="s">
        <v>2477</v>
      </c>
      <c r="L235" s="150" t="s">
        <v>2478</v>
      </c>
      <c r="M235" s="191"/>
      <c r="N235" s="191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</row>
    <row r="236">
      <c r="A236" s="185" t="s">
        <v>2479</v>
      </c>
      <c r="B236" s="150" t="s">
        <v>2480</v>
      </c>
      <c r="C236" s="186">
        <v>109.0</v>
      </c>
      <c r="D236" s="191"/>
      <c r="E236" s="191" t="s">
        <v>1029</v>
      </c>
      <c r="F236" s="186">
        <v>8.9154021497E10</v>
      </c>
      <c r="G236" s="190" t="s">
        <v>2481</v>
      </c>
      <c r="H236" s="187" t="s">
        <v>2482</v>
      </c>
      <c r="I236" s="191"/>
      <c r="J236" s="191"/>
      <c r="K236" s="191"/>
      <c r="L236" s="191"/>
      <c r="M236" s="191"/>
      <c r="N236" s="19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55"/>
    </row>
    <row r="237">
      <c r="A237" s="218" t="s">
        <v>2483</v>
      </c>
      <c r="B237" s="152" t="s">
        <v>2483</v>
      </c>
      <c r="C237" s="197">
        <v>317.0</v>
      </c>
      <c r="D237" s="150" t="s">
        <v>2484</v>
      </c>
      <c r="E237" s="191" t="s">
        <v>1029</v>
      </c>
      <c r="F237" s="251">
        <v>8.919373536E10</v>
      </c>
      <c r="G237" s="198" t="s">
        <v>2485</v>
      </c>
      <c r="H237" s="243" t="s">
        <v>2486</v>
      </c>
      <c r="I237" s="191"/>
      <c r="J237" s="191"/>
      <c r="K237" s="191"/>
      <c r="L237" s="349" t="s">
        <v>2487</v>
      </c>
      <c r="M237" s="191"/>
      <c r="N237" s="191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</row>
    <row r="238">
      <c r="A238" s="350" t="s">
        <v>2488</v>
      </c>
      <c r="B238" s="163" t="str">
        <f>LEFT(A238,FIND(CHAR(160),SUBSTITUTE(A238," ",CHAR(160),2)) - 1)</f>
        <v>Смирнова Виктория</v>
      </c>
      <c r="C238" s="233">
        <v>113.0</v>
      </c>
      <c r="D238" s="163" t="s">
        <v>2489</v>
      </c>
      <c r="E238" s="163" t="str">
        <f t="array" ref="E238">IF(ISERROR(MATCH(1,INDEX(('Списки блоков'!$B$2:$B1010=B238)*(ROW('Списки блоков'!$B$2:$B1010)&lt;&gt;ROW('Списки блоков'!$B$3)),0),0)),"","БДНС,")
&amp;IF(ISERROR(MATCH(1,INDEX(('Списки блоков'!$C$2:$C1010=B238)*(ROW('Списки блоков'!$C$2:$C1010)&lt;&gt;ROW('Списки блоков'!$C$3)),0),0)),"","Видеолаба,")
&amp;IF(ISERROR(MATCH(1,INDEX(('Списки блоков'!$D$2:$D1010=B238)*(ROW('Списки блоков'!$D$2:$D1010)&lt;&gt;ROW('Списки блоков'!$D$3)),0),0)),"","Декораторы,")
&amp;IF(ISERROR(MATCH(1,INDEX(('Списки блоков'!$E$2:$E1010=B238)*(ROW('Списки блоков'!$E$2:$E1010)&lt;&gt;ROW('Списки блоков'!$E$3)),0),0)),"","Дизайн,")
&amp;IF(ISERROR(MATCH(1,INDEX(('Списки блоков'!$F$2:$F1010=B238)*(ROW('Списки блоков'!$F$2:$F1010)&lt;&gt;ROW('Списки блоков'!$F$3)),0),0)),"","Досуг,")
&amp;IF(ISERROR(MATCH(1,INDEX(('Списки блоков'!$G$2:$G1010=B238)*(ROW('Списки блоков'!$G$2:$G1010)&lt;&gt;ROW('Списки блоков'!$G$3)),0),0)),"","Закупки,")
&amp;IF(ISERROR(MATCH(1,INDEX(('Списки блоков'!$H$2:$H1010=B238)*(ROW('Списки блоков'!$H$2:$H1010)&lt;&gt;ROW('Списки блоков'!$H$3)),0),0)),"","ИнфоБлок,")
&amp;IF(ISERROR(MATCH(1,INDEX(('Списки блоков'!$I$2:$I1010=B238)*(ROW('Списки блоков'!$I$2:$I1010)&lt;&gt;ROW('Списки блоков'!$I$3)),0),0)),"","КГ,")
&amp;IF(ISERROR(MATCH(1,INDEX(('Списки блоков'!$J$2:$J1010=B238)*(ROW('Списки блоков'!$J$2:$J1010)&lt;&gt;ROW('Списки блоков'!$J$3)),0),0)),"","МП,")
&amp;IF(ISERROR(MATCH(1,INDEX(('Списки блоков'!$K$2:$K1010=B238)*(ROW('Списки блоков'!$K$2:$K1010)&lt;&gt;ROW('Списки блоков'!$K$3)),0),0)),"","Профорги,")
&amp;IF(ISERROR(MATCH(1,INDEX(('Списки блоков'!$L$2:$L1010=B238)*(ROW('Списки блоков'!$L$2:$L1010)&lt;&gt;ROW('Списки блоков'!$L$3)),0),0)),"","Спонсоры,")
&amp;IF(ISERROR(MATCH(1,INDEX(('Списки блоков'!$M$2:$M1010=B238)*(ROW('Списки блоков'!$M$2:$M1010)&lt;&gt;ROW('Списки блоков'!$M$3)),0),0)),"","Склад,")
&amp;IF(ISERROR(MATCH(1,INDEX(('Списки блоков'!$N$2:$N1010=B238)*(ROW('Списки блоков'!$N$2:$N1010)&lt;&gt;ROW('Списки блоков'!$N$3)),0),0)),"","Сценаристы,")
&amp;IF(ISERROR(MATCH(1,INDEX(('Списки блоков'!$O$2:$O1010=B238)*(ROW('Списки блоков'!$O$2:$O1010)&lt;&gt;ROW('Списки блоков'!$O$3)),0),0)),"","Техники,")
&amp;IF(ISERROR(MATCH(1,INDEX(('Списки блоков'!$P$2:$P1010=B238)*(ROW('Списки блоков'!$P$2:$P1010)&lt;&gt;ROW('Списки блоков'!$P$3)),0),0)),"","УРС,")
&amp;IF(ISERROR(MATCH(1,INDEX(('Списки блоков'!$Q$2:$Q1010=B238)*(ROW('Списки блоков'!$Q$2:$Q1010)&lt;&gt;ROW('Списки блоков'!$Q$3)),0),0)),"","Фото,")
&amp;IF(ISERROR(MATCH(1,INDEX((#REF!=B238)*(ROW(#REF!)&lt;&gt;ROW(#REF!)),0),0)),"","ЭкоБлок,")
&amp;IF(ISERROR(MATCH(1,INDEX(('Списки блоков'!$R$2:$R1010=B238)*(ROW('Списки блоков'!$R$2:$R1010)&lt;&gt;ROW('Списки блоков'!$R$3)),0),0)),"","HR,")
&amp;IF(ISERROR(MATCH(1,INDEX(('Списки блоков'!$S$2:$S1010=B238)*(ROW('Списки блоков'!$S$2:$S1010)&lt;&gt;ROW('Списки блоков'!$S$3)),0),0)),"","Instagram,")
&amp;IF(ISERROR(MATCH(1,INDEX(('Списки блоков'!$T$2:$T1010=B238)*(ROW('Списки блоков'!$T$2:$T1010)&lt;&gt;ROW('Списки блоков'!$T$3)),0),0)),"","Zachёt,")
&amp;IF(ISERROR(MATCH(1,INDEX(('Списки блоков'!$U$2:$U1010=B238)*(ROW('Списки блоков'!$U$2:$U1010)&lt;&gt;ROW('Списки блоков'!$U$3)),0),0)),"","IT,")
&amp;IF(ISERROR(MATCH(1,INDEX(('Списки блоков'!$V$2:$V1010=B238)*(ROW('Списки блоков'!$V$2:$V1010)&lt;&gt;ROW('Списки блоков'!$V$3)),0),0)),"","ДК,")
</f>
        <v/>
      </c>
      <c r="F238" s="234">
        <v>8.9142819902E10</v>
      </c>
      <c r="G238" s="235" t="s">
        <v>2490</v>
      </c>
      <c r="H238" s="235" t="s">
        <v>2491</v>
      </c>
      <c r="I238" s="163" t="s">
        <v>2492</v>
      </c>
      <c r="J238" s="232" t="s">
        <v>15</v>
      </c>
      <c r="K238" s="168"/>
      <c r="L238" s="168"/>
      <c r="M238" s="168"/>
      <c r="N238" s="168"/>
      <c r="AA238" s="155"/>
      <c r="AB238" s="155"/>
      <c r="AC238" s="155"/>
      <c r="AD238" s="155"/>
      <c r="AE238" s="155"/>
    </row>
    <row r="239">
      <c r="A239" s="227" t="s">
        <v>2493</v>
      </c>
      <c r="B239" s="150" t="s">
        <v>2494</v>
      </c>
      <c r="C239" s="229">
        <v>105.0</v>
      </c>
      <c r="D239" s="191"/>
      <c r="E239" s="191" t="s">
        <v>1029</v>
      </c>
      <c r="F239" s="229">
        <v>8.9527791531E10</v>
      </c>
      <c r="G239" s="193" t="s">
        <v>2495</v>
      </c>
      <c r="H239" s="230" t="s">
        <v>2496</v>
      </c>
      <c r="I239" s="191"/>
      <c r="J239" s="191"/>
      <c r="K239" s="191"/>
      <c r="L239" s="191"/>
      <c r="M239" s="191"/>
      <c r="N239" s="19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55"/>
    </row>
    <row r="240">
      <c r="A240" s="185" t="s">
        <v>2497</v>
      </c>
      <c r="B240" s="191"/>
      <c r="C240" s="186">
        <v>212.0</v>
      </c>
      <c r="D240" s="150" t="s">
        <v>2498</v>
      </c>
      <c r="E240" s="150" t="s">
        <v>1517</v>
      </c>
      <c r="F240" s="186">
        <v>8.9851276948E10</v>
      </c>
      <c r="G240" s="190" t="s">
        <v>2499</v>
      </c>
      <c r="H240" s="150" t="s">
        <v>2500</v>
      </c>
      <c r="I240" s="191"/>
      <c r="J240" s="150" t="s">
        <v>2501</v>
      </c>
      <c r="K240" s="150" t="s">
        <v>2502</v>
      </c>
      <c r="L240" s="191"/>
      <c r="M240" s="191"/>
      <c r="N240" s="191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</row>
    <row r="241">
      <c r="A241" s="258" t="s">
        <v>2503</v>
      </c>
      <c r="B241" s="170" t="s">
        <v>2504</v>
      </c>
      <c r="C241" s="171">
        <v>527.0</v>
      </c>
      <c r="D241" s="172" t="s">
        <v>2505</v>
      </c>
      <c r="E241" s="172" t="s">
        <v>2506</v>
      </c>
      <c r="F241" s="171">
        <v>8.9850174039E10</v>
      </c>
      <c r="G241" s="173" t="s">
        <v>2507</v>
      </c>
      <c r="H241" s="172" t="s">
        <v>2508</v>
      </c>
      <c r="I241" s="172" t="s">
        <v>2509</v>
      </c>
      <c r="J241" s="172" t="s">
        <v>2510</v>
      </c>
      <c r="K241" s="170" t="s">
        <v>2511</v>
      </c>
      <c r="L241" s="154"/>
      <c r="M241" s="191"/>
      <c r="N241" s="191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</row>
    <row r="242">
      <c r="A242" s="341" t="s">
        <v>2512</v>
      </c>
      <c r="B242" s="154"/>
      <c r="C242" s="151">
        <v>327.0</v>
      </c>
      <c r="D242" s="154" t="s">
        <v>2513</v>
      </c>
      <c r="E242" s="154" t="s">
        <v>2514</v>
      </c>
      <c r="F242" s="151">
        <v>8.9165258751E10</v>
      </c>
      <c r="G242" s="178" t="s">
        <v>2515</v>
      </c>
      <c r="H242" s="154" t="s">
        <v>2516</v>
      </c>
      <c r="I242" s="154" t="s">
        <v>2517</v>
      </c>
      <c r="J242" s="154" t="s">
        <v>2517</v>
      </c>
      <c r="K242" s="154" t="s">
        <v>2517</v>
      </c>
      <c r="L242" s="154"/>
      <c r="M242" s="154"/>
      <c r="N242" s="154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</row>
    <row r="243">
      <c r="A243" s="185" t="s">
        <v>2518</v>
      </c>
      <c r="B243" s="187" t="s">
        <v>2519</v>
      </c>
      <c r="C243" s="186">
        <v>218.0</v>
      </c>
      <c r="D243" s="150" t="s">
        <v>2520</v>
      </c>
      <c r="E243" s="191" t="s">
        <v>1029</v>
      </c>
      <c r="F243" s="186">
        <v>8.96215901E10</v>
      </c>
      <c r="G243" s="190" t="s">
        <v>2521</v>
      </c>
      <c r="H243" s="187" t="s">
        <v>2522</v>
      </c>
      <c r="I243" s="191"/>
      <c r="J243" s="191"/>
      <c r="K243" s="150" t="s">
        <v>2523</v>
      </c>
      <c r="L243" s="150" t="s">
        <v>2524</v>
      </c>
      <c r="M243" s="154"/>
      <c r="N243" s="154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</row>
    <row r="244">
      <c r="A244" s="185" t="s">
        <v>2525</v>
      </c>
      <c r="B244" s="150" t="s">
        <v>2526</v>
      </c>
      <c r="C244" s="197">
        <v>211.0</v>
      </c>
      <c r="D244" s="150" t="s">
        <v>2527</v>
      </c>
      <c r="E244" s="191" t="s">
        <v>1029</v>
      </c>
      <c r="F244" s="186">
        <v>8.9772769525E10</v>
      </c>
      <c r="G244" s="190" t="s">
        <v>2528</v>
      </c>
      <c r="H244" s="187" t="s">
        <v>2529</v>
      </c>
      <c r="I244" s="191"/>
      <c r="J244" s="191"/>
      <c r="K244" s="150" t="s">
        <v>2530</v>
      </c>
      <c r="L244" s="150" t="s">
        <v>2531</v>
      </c>
      <c r="M244" s="150" t="s">
        <v>2532</v>
      </c>
      <c r="N244" s="19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</row>
    <row r="245">
      <c r="A245" s="179" t="s">
        <v>2533</v>
      </c>
      <c r="B245" s="154" t="s">
        <v>2534</v>
      </c>
      <c r="C245" s="181">
        <v>317.0</v>
      </c>
      <c r="D245" s="180" t="s">
        <v>2535</v>
      </c>
      <c r="E245" s="187" t="s">
        <v>2536</v>
      </c>
      <c r="F245" s="181" t="s">
        <v>2537</v>
      </c>
      <c r="G245" s="159" t="s">
        <v>2538</v>
      </c>
      <c r="H245" s="180" t="s">
        <v>2539</v>
      </c>
      <c r="I245" s="154"/>
      <c r="J245" s="154"/>
      <c r="K245" s="154" t="s">
        <v>2540</v>
      </c>
      <c r="L245" s="154" t="s">
        <v>2541</v>
      </c>
      <c r="M245" s="150" t="s">
        <v>2542</v>
      </c>
      <c r="N245" s="191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</row>
    <row r="246">
      <c r="A246" s="163" t="s">
        <v>2543</v>
      </c>
      <c r="B246" s="163" t="str">
        <f>LEFT(A246,FIND(CHAR(160),SUBSTITUTE(A246," ",CHAR(160),2)) - 1)</f>
        <v>Сухова Софья</v>
      </c>
      <c r="C246" s="233">
        <v>491.0</v>
      </c>
      <c r="D246" s="163" t="s">
        <v>2544</v>
      </c>
      <c r="E246" s="163" t="str">
        <f t="array" ref="E246">IF(ISERROR(MATCH(1,INDEX(('Списки блоков'!$B$2:$B1010=B246)*(ROW('Списки блоков'!$B$2:$B1010)&lt;&gt;ROW('Списки блоков'!$B$3)),0),0)),"","БДНС,")
&amp;IF(ISERROR(MATCH(1,INDEX(('Списки блоков'!$C$2:$C1010=B246)*(ROW('Списки блоков'!$C$2:$C1010)&lt;&gt;ROW('Списки блоков'!$C$3)),0),0)),"","Видеолаба,")
&amp;IF(ISERROR(MATCH(1,INDEX(('Списки блоков'!$D$2:$D1010=B246)*(ROW('Списки блоков'!$D$2:$D1010)&lt;&gt;ROW('Списки блоков'!$D$3)),0),0)),"","Декораторы,")
&amp;IF(ISERROR(MATCH(1,INDEX(('Списки блоков'!$E$2:$E1010=B246)*(ROW('Списки блоков'!$E$2:$E1010)&lt;&gt;ROW('Списки блоков'!$E$3)),0),0)),"","Дизайн,")
&amp;IF(ISERROR(MATCH(1,INDEX(('Списки блоков'!$F$2:$F1010=B246)*(ROW('Списки блоков'!$F$2:$F1010)&lt;&gt;ROW('Списки блоков'!$F$3)),0),0)),"","Досуг,")
&amp;IF(ISERROR(MATCH(1,INDEX(('Списки блоков'!$G$2:$G1010=B246)*(ROW('Списки блоков'!$G$2:$G1010)&lt;&gt;ROW('Списки блоков'!$G$3)),0),0)),"","Закупки,")
&amp;IF(ISERROR(MATCH(1,INDEX(('Списки блоков'!$H$2:$H1010=B246)*(ROW('Списки блоков'!$H$2:$H1010)&lt;&gt;ROW('Списки блоков'!$H$3)),0),0)),"","ИнфоБлок,")
&amp;IF(ISERROR(MATCH(1,INDEX(('Списки блоков'!$I$2:$I1010=B246)*(ROW('Списки блоков'!$I$2:$I1010)&lt;&gt;ROW('Списки блоков'!$I$3)),0),0)),"","КГ,")
&amp;IF(ISERROR(MATCH(1,INDEX(('Списки блоков'!$J$2:$J1010=B246)*(ROW('Списки блоков'!$J$2:$J1010)&lt;&gt;ROW('Списки блоков'!$J$3)),0),0)),"","МП,")
&amp;IF(ISERROR(MATCH(1,INDEX(('Списки блоков'!$K$2:$K1010=B246)*(ROW('Списки блоков'!$K$2:$K1010)&lt;&gt;ROW('Списки блоков'!$K$3)),0),0)),"","Профорги,")
&amp;IF(ISERROR(MATCH(1,INDEX(('Списки блоков'!$L$2:$L1010=B246)*(ROW('Списки блоков'!$L$2:$L1010)&lt;&gt;ROW('Списки блоков'!$L$3)),0),0)),"","Спонсоры,")
&amp;IF(ISERROR(MATCH(1,INDEX(('Списки блоков'!$M$2:$M1010=B246)*(ROW('Списки блоков'!$M$2:$M1010)&lt;&gt;ROW('Списки блоков'!$M$3)),0),0)),"","Склад,")
&amp;IF(ISERROR(MATCH(1,INDEX(('Списки блоков'!$N$2:$N1010=B246)*(ROW('Списки блоков'!$N$2:$N1010)&lt;&gt;ROW('Списки блоков'!$N$3)),0),0)),"","Сценаристы,")
&amp;IF(ISERROR(MATCH(1,INDEX(('Списки блоков'!$O$2:$O1010=B246)*(ROW('Списки блоков'!$O$2:$O1010)&lt;&gt;ROW('Списки блоков'!$O$3)),0),0)),"","Техники,")
&amp;IF(ISERROR(MATCH(1,INDEX(('Списки блоков'!$P$2:$P1010=B246)*(ROW('Списки блоков'!$P$2:$P1010)&lt;&gt;ROW('Списки блоков'!$P$3)),0),0)),"","УРС,")
&amp;IF(ISERROR(MATCH(1,INDEX(('Списки блоков'!$Q$2:$Q1010=B246)*(ROW('Списки блоков'!$Q$2:$Q1010)&lt;&gt;ROW('Списки блоков'!$Q$3)),0),0)),"","Фото,")
&amp;IF(ISERROR(MATCH(1,INDEX((#REF!=B246)*(ROW(#REF!)&lt;&gt;ROW(#REF!)),0),0)),"","ЭкоБлок,")
&amp;IF(ISERROR(MATCH(1,INDEX(('Списки блоков'!$R$2:$R1010=B246)*(ROW('Списки блоков'!$R$2:$R1010)&lt;&gt;ROW('Списки блоков'!$R$3)),0),0)),"","HR,")
&amp;IF(ISERROR(MATCH(1,INDEX(('Списки блоков'!$S$2:$S1010=B246)*(ROW('Списки блоков'!$S$2:$S1010)&lt;&gt;ROW('Списки блоков'!$S$3)),0),0)),"","Instagram,")
&amp;IF(ISERROR(MATCH(1,INDEX(('Списки блоков'!$T$2:$T1010=B246)*(ROW('Списки блоков'!$T$2:$T1010)&lt;&gt;ROW('Списки блоков'!$T$3)),0),0)),"","Zachёt,")
&amp;IF(ISERROR(MATCH(1,INDEX(('Списки блоков'!$U$2:$U1010=B246)*(ROW('Списки блоков'!$U$2:$U1010)&lt;&gt;ROW('Списки блоков'!$U$3)),0),0)),"","IT,")
&amp;IF(ISERROR(MATCH(1,INDEX(('Списки блоков'!$V$2:$V1010=B246)*(ROW('Списки блоков'!$V$2:$V1010)&lt;&gt;ROW('Списки блоков'!$V$3)),0),0)),"","ДК,")
</f>
        <v/>
      </c>
      <c r="F246" s="234">
        <v>8.9254207588E10</v>
      </c>
      <c r="G246" s="235" t="s">
        <v>2545</v>
      </c>
      <c r="H246" s="163" t="s">
        <v>2546</v>
      </c>
      <c r="I246" s="163" t="s">
        <v>2547</v>
      </c>
      <c r="J246" s="232" t="s">
        <v>22</v>
      </c>
      <c r="K246" s="168"/>
      <c r="L246" s="168"/>
      <c r="M246" s="168"/>
      <c r="N246" s="168"/>
      <c r="AA246" s="155"/>
      <c r="AB246" s="155"/>
      <c r="AC246" s="155"/>
      <c r="AD246" s="155"/>
      <c r="AE246" s="155"/>
    </row>
    <row r="247">
      <c r="A247" s="177" t="s">
        <v>2548</v>
      </c>
      <c r="B247" s="191"/>
      <c r="C247" s="197">
        <v>417.0</v>
      </c>
      <c r="D247" s="150" t="s">
        <v>2549</v>
      </c>
      <c r="E247" s="150" t="s">
        <v>743</v>
      </c>
      <c r="F247" s="197">
        <v>8.9514357207E10</v>
      </c>
      <c r="G247" s="198" t="s">
        <v>2550</v>
      </c>
      <c r="H247" s="150" t="s">
        <v>2551</v>
      </c>
      <c r="I247" s="150" t="s">
        <v>2552</v>
      </c>
      <c r="J247" s="150" t="s">
        <v>2553</v>
      </c>
      <c r="K247" s="150" t="s">
        <v>2554</v>
      </c>
      <c r="L247" s="191"/>
      <c r="M247" s="154" t="s">
        <v>2555</v>
      </c>
      <c r="N247" s="150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</row>
    <row r="248">
      <c r="A248" s="179" t="s">
        <v>2556</v>
      </c>
      <c r="B248" s="154" t="s">
        <v>2557</v>
      </c>
      <c r="C248" s="154"/>
      <c r="D248" s="154"/>
      <c r="E248" s="154" t="s">
        <v>1029</v>
      </c>
      <c r="F248" s="154"/>
      <c r="G248" s="154"/>
      <c r="H248" s="154"/>
      <c r="I248" s="154"/>
      <c r="J248" s="154"/>
      <c r="K248" s="154"/>
      <c r="L248" s="154"/>
      <c r="M248" s="191"/>
      <c r="N248" s="191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</row>
    <row r="249">
      <c r="A249" s="199" t="s">
        <v>2558</v>
      </c>
      <c r="B249" s="154"/>
      <c r="C249" s="181">
        <v>207.0</v>
      </c>
      <c r="D249" s="154" t="s">
        <v>1296</v>
      </c>
      <c r="E249" s="154" t="s">
        <v>2559</v>
      </c>
      <c r="F249" s="181">
        <v>8.9588159317E10</v>
      </c>
      <c r="G249" s="189" t="s">
        <v>2560</v>
      </c>
      <c r="H249" s="154" t="s">
        <v>2561</v>
      </c>
      <c r="I249" s="191"/>
      <c r="J249" s="154" t="s">
        <v>2562</v>
      </c>
      <c r="K249" s="154" t="s">
        <v>2563</v>
      </c>
      <c r="L249" s="154"/>
      <c r="M249" s="150"/>
      <c r="N249" s="150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</row>
    <row r="250">
      <c r="A250" s="185" t="s">
        <v>2564</v>
      </c>
      <c r="B250" s="155"/>
      <c r="C250" s="351">
        <v>311.0</v>
      </c>
      <c r="D250" s="155" t="s">
        <v>2565</v>
      </c>
      <c r="E250" s="155" t="s">
        <v>2566</v>
      </c>
      <c r="F250" s="351">
        <v>8.965208107E10</v>
      </c>
      <c r="G250" s="183" t="s">
        <v>2567</v>
      </c>
      <c r="H250" s="155" t="s">
        <v>2568</v>
      </c>
      <c r="I250" s="155" t="s">
        <v>2569</v>
      </c>
      <c r="J250" s="155" t="s">
        <v>2570</v>
      </c>
      <c r="K250" s="155" t="s">
        <v>2571</v>
      </c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</row>
    <row r="251">
      <c r="A251" s="232" t="s">
        <v>2572</v>
      </c>
      <c r="B251" s="163" t="str">
        <f>LEFT(A251,FIND(CHAR(160),SUBSTITUTE(A251," ",CHAR(160),2)) - 1)</f>
        <v>Татаринов Иван</v>
      </c>
      <c r="C251" s="233" t="s">
        <v>2573</v>
      </c>
      <c r="D251" s="163" t="s">
        <v>2574</v>
      </c>
      <c r="E251" s="163" t="str">
        <f t="array" ref="E251">IF(ISERROR(MATCH(1,INDEX(('Списки блоков'!$B$2:$B1010=B251)*(ROW('Списки блоков'!$B$2:$B1010)&lt;&gt;ROW('Списки блоков'!$B$3)),0),0)),"","БДНС,")
&amp;IF(ISERROR(MATCH(1,INDEX(('Списки блоков'!$C$2:$C1010=B251)*(ROW('Списки блоков'!$C$2:$C1010)&lt;&gt;ROW('Списки блоков'!$C$3)),0),0)),"","Видеолаба,")
&amp;IF(ISERROR(MATCH(1,INDEX(('Списки блоков'!$D$2:$D1010=B251)*(ROW('Списки блоков'!$D$2:$D1010)&lt;&gt;ROW('Списки блоков'!$D$3)),0),0)),"","Декораторы,")
&amp;IF(ISERROR(MATCH(1,INDEX(('Списки блоков'!$E$2:$E1010=B251)*(ROW('Списки блоков'!$E$2:$E1010)&lt;&gt;ROW('Списки блоков'!$E$3)),0),0)),"","Дизайн,")
&amp;IF(ISERROR(MATCH(1,INDEX(('Списки блоков'!$F$2:$F1010=B251)*(ROW('Списки блоков'!$F$2:$F1010)&lt;&gt;ROW('Списки блоков'!$F$3)),0),0)),"","Досуг,")
&amp;IF(ISERROR(MATCH(1,INDEX(('Списки блоков'!$G$2:$G1010=B251)*(ROW('Списки блоков'!$G$2:$G1010)&lt;&gt;ROW('Списки блоков'!$G$3)),0),0)),"","Закупки,")
&amp;IF(ISERROR(MATCH(1,INDEX(('Списки блоков'!$H$2:$H1010=B251)*(ROW('Списки блоков'!$H$2:$H1010)&lt;&gt;ROW('Списки блоков'!$H$3)),0),0)),"","ИнфоБлок,")
&amp;IF(ISERROR(MATCH(1,INDEX(('Списки блоков'!$I$2:$I1010=B251)*(ROW('Списки блоков'!$I$2:$I1010)&lt;&gt;ROW('Списки блоков'!$I$3)),0),0)),"","КГ,")
&amp;IF(ISERROR(MATCH(1,INDEX(('Списки блоков'!$J$2:$J1010=B251)*(ROW('Списки блоков'!$J$2:$J1010)&lt;&gt;ROW('Списки блоков'!$J$3)),0),0)),"","МП,")
&amp;IF(ISERROR(MATCH(1,INDEX(('Списки блоков'!$K$2:$K1010=B251)*(ROW('Списки блоков'!$K$2:$K1010)&lt;&gt;ROW('Списки блоков'!$K$3)),0),0)),"","Профорги,")
&amp;IF(ISERROR(MATCH(1,INDEX(('Списки блоков'!$L$2:$L1010=B251)*(ROW('Списки блоков'!$L$2:$L1010)&lt;&gt;ROW('Списки блоков'!$L$3)),0),0)),"","Спонсоры,")
&amp;IF(ISERROR(MATCH(1,INDEX(('Списки блоков'!$M$2:$M1010=B251)*(ROW('Списки блоков'!$M$2:$M1010)&lt;&gt;ROW('Списки блоков'!$M$3)),0),0)),"","Склад,")
&amp;IF(ISERROR(MATCH(1,INDEX(('Списки блоков'!$N$2:$N1010=B251)*(ROW('Списки блоков'!$N$2:$N1010)&lt;&gt;ROW('Списки блоков'!$N$3)),0),0)),"","Сценаристы,")
&amp;IF(ISERROR(MATCH(1,INDEX(('Списки блоков'!$O$2:$O1010=B251)*(ROW('Списки блоков'!$O$2:$O1010)&lt;&gt;ROW('Списки блоков'!$O$3)),0),0)),"","Техники,")
&amp;IF(ISERROR(MATCH(1,INDEX(('Списки блоков'!$P$2:$P1010=B251)*(ROW('Списки блоков'!$P$2:$P1010)&lt;&gt;ROW('Списки блоков'!$P$3)),0),0)),"","УРС,")
&amp;IF(ISERROR(MATCH(1,INDEX(('Списки блоков'!$Q$2:$Q1010=B251)*(ROW('Списки блоков'!$Q$2:$Q1010)&lt;&gt;ROW('Списки блоков'!$Q$3)),0),0)),"","Фото,")
&amp;IF(ISERROR(MATCH(1,INDEX((#REF!=B251)*(ROW(#REF!)&lt;&gt;ROW(#REF!)),0),0)),"","ЭкоБлок,")
&amp;IF(ISERROR(MATCH(1,INDEX(('Списки блоков'!$R$2:$R1010=B251)*(ROW('Списки блоков'!$R$2:$R1010)&lt;&gt;ROW('Списки блоков'!$R$3)),0),0)),"","HR,")
&amp;IF(ISERROR(MATCH(1,INDEX(('Списки блоков'!$S$2:$S1010=B251)*(ROW('Списки блоков'!$S$2:$S1010)&lt;&gt;ROW('Списки блоков'!$S$3)),0),0)),"","Instagram,")
&amp;IF(ISERROR(MATCH(1,INDEX(('Списки блоков'!$T$2:$T1010=B251)*(ROW('Списки блоков'!$T$2:$T1010)&lt;&gt;ROW('Списки блоков'!$T$3)),0),0)),"","Zachёt,")
&amp;IF(ISERROR(MATCH(1,INDEX(('Списки блоков'!$U$2:$U1010=B251)*(ROW('Списки блоков'!$U$2:$U1010)&lt;&gt;ROW('Списки блоков'!$U$3)),0),0)),"","IT,")
&amp;IF(ISERROR(MATCH(1,INDEX(('Списки блоков'!$V$2:$V1010=B251)*(ROW('Списки блоков'!$V$2:$V1010)&lt;&gt;ROW('Списки блоков'!$V$3)),0),0)),"","ДК,")
</f>
        <v/>
      </c>
      <c r="F251" s="242">
        <v>8.9852714813E10</v>
      </c>
      <c r="G251" s="235" t="s">
        <v>2575</v>
      </c>
      <c r="H251" s="163" t="s">
        <v>2576</v>
      </c>
      <c r="I251" s="163" t="s">
        <v>2577</v>
      </c>
      <c r="J251" s="232" t="s">
        <v>22</v>
      </c>
      <c r="K251" s="168"/>
      <c r="L251" s="168"/>
      <c r="M251" s="168"/>
      <c r="N251" s="168"/>
      <c r="AA251" s="155"/>
      <c r="AB251" s="155"/>
      <c r="AC251" s="155"/>
      <c r="AD251" s="155"/>
      <c r="AE251" s="155"/>
    </row>
    <row r="252">
      <c r="A252" s="156" t="s">
        <v>2578</v>
      </c>
      <c r="B252" s="154" t="s">
        <v>2579</v>
      </c>
      <c r="C252" s="157">
        <v>102.0</v>
      </c>
      <c r="D252" s="154"/>
      <c r="E252" s="154" t="s">
        <v>1257</v>
      </c>
      <c r="F252" s="158">
        <v>8.9032693646E10</v>
      </c>
      <c r="G252" s="159" t="s">
        <v>2580</v>
      </c>
      <c r="H252" s="160" t="s">
        <v>2581</v>
      </c>
      <c r="I252" s="154"/>
      <c r="J252" s="154"/>
      <c r="K252" s="154"/>
      <c r="L252" s="154"/>
      <c r="M252" s="154"/>
      <c r="N252" s="154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</row>
    <row r="253">
      <c r="A253" s="185" t="s">
        <v>2582</v>
      </c>
      <c r="B253" s="150" t="s">
        <v>2583</v>
      </c>
      <c r="C253" s="186">
        <v>201.0</v>
      </c>
      <c r="D253" s="187" t="s">
        <v>508</v>
      </c>
      <c r="E253" s="187" t="s">
        <v>2584</v>
      </c>
      <c r="F253" s="186" t="s">
        <v>2585</v>
      </c>
      <c r="G253" s="193" t="s">
        <v>2586</v>
      </c>
      <c r="H253" s="187" t="s">
        <v>2587</v>
      </c>
      <c r="I253" s="191"/>
      <c r="J253" s="191"/>
      <c r="K253" s="150" t="s">
        <v>2588</v>
      </c>
      <c r="L253" s="191"/>
      <c r="M253" s="150"/>
      <c r="N253" s="150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</row>
    <row r="254">
      <c r="A254" s="236" t="s">
        <v>2589</v>
      </c>
      <c r="B254" s="154"/>
      <c r="C254" s="151">
        <v>318.0</v>
      </c>
      <c r="D254" s="154" t="s">
        <v>2590</v>
      </c>
      <c r="E254" s="154" t="s">
        <v>2591</v>
      </c>
      <c r="F254" s="251">
        <v>8.9167323564E10</v>
      </c>
      <c r="G254" s="178" t="s">
        <v>2592</v>
      </c>
      <c r="H254" s="207" t="s">
        <v>2593</v>
      </c>
      <c r="I254" s="208" t="s">
        <v>2594</v>
      </c>
      <c r="J254" s="305" t="s">
        <v>2595</v>
      </c>
      <c r="K254" s="305" t="s">
        <v>2595</v>
      </c>
      <c r="L254" s="154"/>
      <c r="M254" s="191"/>
      <c r="N254" s="19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</row>
    <row r="255">
      <c r="A255" s="149" t="s">
        <v>2596</v>
      </c>
      <c r="B255" s="180" t="s">
        <v>2597</v>
      </c>
      <c r="C255" s="181">
        <v>211.0</v>
      </c>
      <c r="D255" s="194"/>
      <c r="E255" s="187" t="s">
        <v>924</v>
      </c>
      <c r="F255" s="181" t="s">
        <v>2598</v>
      </c>
      <c r="G255" s="159" t="s">
        <v>2599</v>
      </c>
      <c r="H255" s="180" t="s">
        <v>2600</v>
      </c>
      <c r="I255" s="154"/>
      <c r="J255" s="154"/>
      <c r="K255" s="191"/>
      <c r="L255" s="191"/>
      <c r="M255" s="154"/>
      <c r="N255" s="154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</row>
    <row r="256">
      <c r="A256" s="185" t="s">
        <v>2601</v>
      </c>
      <c r="B256" s="187" t="s">
        <v>2602</v>
      </c>
      <c r="C256" s="186">
        <v>213.0</v>
      </c>
      <c r="D256" s="150" t="s">
        <v>2603</v>
      </c>
      <c r="E256" s="150" t="s">
        <v>1029</v>
      </c>
      <c r="F256" s="188">
        <v>8.937652373E10</v>
      </c>
      <c r="G256" s="189" t="s">
        <v>2604</v>
      </c>
      <c r="H256" s="180" t="s">
        <v>2605</v>
      </c>
      <c r="I256" s="154"/>
      <c r="J256" s="191"/>
      <c r="K256" s="191"/>
      <c r="L256" s="191"/>
      <c r="M256" s="191"/>
      <c r="N256" s="150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</row>
    <row r="257">
      <c r="A257" s="185" t="s">
        <v>2606</v>
      </c>
      <c r="B257" s="154"/>
      <c r="C257" s="181">
        <v>207.0</v>
      </c>
      <c r="D257" s="154" t="s">
        <v>2607</v>
      </c>
      <c r="E257" s="154" t="s">
        <v>2608</v>
      </c>
      <c r="F257" s="181">
        <v>8.950356072E10</v>
      </c>
      <c r="G257" s="189" t="s">
        <v>2609</v>
      </c>
      <c r="H257" s="154" t="s">
        <v>2610</v>
      </c>
      <c r="I257" s="352" t="s">
        <v>2610</v>
      </c>
      <c r="J257" s="154" t="s">
        <v>2611</v>
      </c>
      <c r="K257" s="154" t="s">
        <v>2611</v>
      </c>
      <c r="L257" s="154"/>
      <c r="M257" s="150" t="s">
        <v>2612</v>
      </c>
      <c r="N257" s="150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55"/>
    </row>
    <row r="258">
      <c r="A258" s="179" t="s">
        <v>2613</v>
      </c>
      <c r="B258" s="187" t="s">
        <v>2614</v>
      </c>
      <c r="C258" s="186">
        <v>533.0</v>
      </c>
      <c r="D258" s="150" t="s">
        <v>1482</v>
      </c>
      <c r="E258" s="150" t="s">
        <v>2615</v>
      </c>
      <c r="F258" s="181">
        <v>8.9858609192E10</v>
      </c>
      <c r="G258" s="189" t="s">
        <v>2616</v>
      </c>
      <c r="H258" s="154" t="s">
        <v>2617</v>
      </c>
      <c r="I258" s="154"/>
      <c r="J258" s="154" t="s">
        <v>2618</v>
      </c>
      <c r="K258" s="154" t="s">
        <v>2619</v>
      </c>
      <c r="L258" s="154" t="s">
        <v>2620</v>
      </c>
      <c r="M258" s="154"/>
      <c r="N258" s="154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</row>
    <row r="259">
      <c r="A259" s="156" t="s">
        <v>2621</v>
      </c>
      <c r="B259" s="154" t="s">
        <v>2622</v>
      </c>
      <c r="C259" s="158">
        <v>109.0</v>
      </c>
      <c r="D259" s="154"/>
      <c r="E259" s="154" t="s">
        <v>1029</v>
      </c>
      <c r="F259" s="160" t="s">
        <v>2623</v>
      </c>
      <c r="G259" s="159" t="s">
        <v>2624</v>
      </c>
      <c r="H259" s="160" t="s">
        <v>2625</v>
      </c>
      <c r="I259" s="154"/>
      <c r="J259" s="154"/>
      <c r="K259" s="154"/>
      <c r="L259" s="154"/>
      <c r="M259" s="191"/>
      <c r="N259" s="150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</row>
    <row r="260">
      <c r="A260" s="218" t="s">
        <v>2626</v>
      </c>
      <c r="B260" s="152" t="s">
        <v>2627</v>
      </c>
      <c r="C260" s="197">
        <v>425.0</v>
      </c>
      <c r="D260" s="150" t="s">
        <v>319</v>
      </c>
      <c r="E260" s="150" t="s">
        <v>2628</v>
      </c>
      <c r="F260" s="251">
        <v>8.985129575E10</v>
      </c>
      <c r="G260" s="178" t="s">
        <v>2629</v>
      </c>
      <c r="H260" s="207" t="s">
        <v>2630</v>
      </c>
      <c r="I260" s="154" t="s">
        <v>2631</v>
      </c>
      <c r="J260" s="207" t="s">
        <v>2632</v>
      </c>
      <c r="K260" s="150" t="s">
        <v>2633</v>
      </c>
      <c r="L260" s="191"/>
      <c r="M260" s="150"/>
      <c r="N260" s="150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</row>
    <row r="261">
      <c r="A261" s="185" t="s">
        <v>2634</v>
      </c>
      <c r="B261" s="154"/>
      <c r="C261" s="181">
        <v>328.0</v>
      </c>
      <c r="D261" s="154" t="s">
        <v>2635</v>
      </c>
      <c r="E261" s="154" t="s">
        <v>754</v>
      </c>
      <c r="F261" s="181">
        <v>8.9269219057E10</v>
      </c>
      <c r="G261" s="189" t="s">
        <v>2636</v>
      </c>
      <c r="H261" s="154" t="s">
        <v>2637</v>
      </c>
      <c r="I261" s="191"/>
      <c r="J261" s="154" t="s">
        <v>2638</v>
      </c>
      <c r="K261" s="154" t="s">
        <v>2639</v>
      </c>
      <c r="L261" s="154"/>
      <c r="M261" s="154"/>
      <c r="N261" s="150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55"/>
    </row>
    <row r="262">
      <c r="A262" s="149" t="s">
        <v>2640</v>
      </c>
      <c r="B262" s="154"/>
      <c r="C262" s="151">
        <v>209.0</v>
      </c>
      <c r="D262" s="154" t="s">
        <v>1367</v>
      </c>
      <c r="E262" s="154" t="s">
        <v>2641</v>
      </c>
      <c r="F262" s="151">
        <v>8.9629516992E10</v>
      </c>
      <c r="G262" s="178" t="s">
        <v>2642</v>
      </c>
      <c r="H262" s="154" t="s">
        <v>2643</v>
      </c>
      <c r="I262" s="154" t="s">
        <v>2644</v>
      </c>
      <c r="J262" s="154" t="s">
        <v>2644</v>
      </c>
      <c r="K262" s="154" t="s">
        <v>2645</v>
      </c>
      <c r="L262" s="154"/>
      <c r="M262" s="154"/>
      <c r="N262" s="154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</row>
    <row r="263">
      <c r="A263" s="177" t="s">
        <v>2646</v>
      </c>
      <c r="B263" s="150" t="s">
        <v>2647</v>
      </c>
      <c r="C263" s="197">
        <v>523.0</v>
      </c>
      <c r="D263" s="150" t="s">
        <v>2648</v>
      </c>
      <c r="E263" s="150" t="s">
        <v>1019</v>
      </c>
      <c r="F263" s="151">
        <v>8.9266322644E10</v>
      </c>
      <c r="G263" s="178" t="s">
        <v>2649</v>
      </c>
      <c r="H263" s="154" t="s">
        <v>2650</v>
      </c>
      <c r="I263" s="154" t="s">
        <v>2651</v>
      </c>
      <c r="J263" s="154" t="s">
        <v>2651</v>
      </c>
      <c r="K263" s="154" t="s">
        <v>2651</v>
      </c>
      <c r="L263" s="353" t="s">
        <v>2652</v>
      </c>
      <c r="M263" s="154"/>
      <c r="N263" s="154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</row>
    <row r="264">
      <c r="A264" s="177" t="s">
        <v>2653</v>
      </c>
      <c r="B264" s="154"/>
      <c r="C264" s="151" t="s">
        <v>2654</v>
      </c>
      <c r="D264" s="154" t="s">
        <v>2655</v>
      </c>
      <c r="E264" s="224" t="s">
        <v>2656</v>
      </c>
      <c r="F264" s="151">
        <v>8.9104054769E10</v>
      </c>
      <c r="G264" s="178" t="s">
        <v>2657</v>
      </c>
      <c r="H264" s="154" t="s">
        <v>2658</v>
      </c>
      <c r="I264" s="154" t="s">
        <v>2659</v>
      </c>
      <c r="J264" s="154" t="s">
        <v>2660</v>
      </c>
      <c r="K264" s="154" t="s">
        <v>2661</v>
      </c>
      <c r="L264" s="154"/>
      <c r="M264" s="154"/>
      <c r="N264" s="150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55"/>
    </row>
    <row r="265">
      <c r="A265" s="179" t="s">
        <v>2662</v>
      </c>
      <c r="B265" s="187" t="s">
        <v>2663</v>
      </c>
      <c r="C265" s="186">
        <v>417.0</v>
      </c>
      <c r="D265" s="150" t="s">
        <v>2664</v>
      </c>
      <c r="E265" s="187" t="s">
        <v>2665</v>
      </c>
      <c r="F265" s="181" t="s">
        <v>2666</v>
      </c>
      <c r="G265" s="159" t="s">
        <v>2667</v>
      </c>
      <c r="H265" s="180" t="s">
        <v>2668</v>
      </c>
      <c r="I265" s="154"/>
      <c r="J265" s="154"/>
      <c r="K265" s="154" t="s">
        <v>2669</v>
      </c>
      <c r="L265" s="154" t="s">
        <v>2669</v>
      </c>
      <c r="M265" s="154"/>
      <c r="N265" s="154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</row>
    <row r="266">
      <c r="A266" s="177" t="s">
        <v>2670</v>
      </c>
      <c r="B266" s="150" t="s">
        <v>2671</v>
      </c>
      <c r="C266" s="197">
        <v>511.0</v>
      </c>
      <c r="D266" s="150" t="s">
        <v>2266</v>
      </c>
      <c r="E266" s="191" t="s">
        <v>1029</v>
      </c>
      <c r="F266" s="197">
        <v>8.9161205232E10</v>
      </c>
      <c r="G266" s="198" t="s">
        <v>2528</v>
      </c>
      <c r="H266" s="150" t="s">
        <v>2672</v>
      </c>
      <c r="I266" s="191"/>
      <c r="J266" s="191"/>
      <c r="K266" s="150" t="s">
        <v>2673</v>
      </c>
      <c r="L266" s="150" t="s">
        <v>2674</v>
      </c>
      <c r="M266" s="150" t="s">
        <v>2675</v>
      </c>
      <c r="N266" s="150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</row>
    <row r="267">
      <c r="A267" s="149" t="s">
        <v>2676</v>
      </c>
      <c r="B267" s="150" t="s">
        <v>2677</v>
      </c>
      <c r="C267" s="197">
        <v>428.0</v>
      </c>
      <c r="D267" s="150" t="s">
        <v>670</v>
      </c>
      <c r="E267" s="150" t="s">
        <v>1257</v>
      </c>
      <c r="F267" s="151">
        <v>8.9520246701E10</v>
      </c>
      <c r="G267" s="153" t="s">
        <v>2678</v>
      </c>
      <c r="H267" s="154" t="s">
        <v>2679</v>
      </c>
      <c r="I267" s="178" t="s">
        <v>2680</v>
      </c>
      <c r="J267" s="154" t="s">
        <v>2681</v>
      </c>
      <c r="K267" s="154" t="s">
        <v>2682</v>
      </c>
      <c r="L267" s="154" t="s">
        <v>2683</v>
      </c>
      <c r="M267" s="150" t="s">
        <v>2684</v>
      </c>
      <c r="N267" s="19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55"/>
    </row>
    <row r="268">
      <c r="A268" s="179" t="s">
        <v>2685</v>
      </c>
      <c r="B268" s="187" t="s">
        <v>2686</v>
      </c>
      <c r="C268" s="186">
        <v>530.0</v>
      </c>
      <c r="D268" s="150" t="s">
        <v>2687</v>
      </c>
      <c r="E268" s="150" t="s">
        <v>1029</v>
      </c>
      <c r="F268" s="181">
        <v>8.9534912066E10</v>
      </c>
      <c r="G268" s="159" t="s">
        <v>2688</v>
      </c>
      <c r="H268" s="154" t="s">
        <v>2689</v>
      </c>
      <c r="I268" s="198" t="s">
        <v>2690</v>
      </c>
      <c r="J268" s="150" t="s">
        <v>2691</v>
      </c>
      <c r="K268" s="154" t="s">
        <v>2691</v>
      </c>
      <c r="L268" s="154" t="s">
        <v>2691</v>
      </c>
      <c r="M268" s="154" t="s">
        <v>2692</v>
      </c>
      <c r="N268" s="198" t="s">
        <v>2693</v>
      </c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</row>
    <row r="269">
      <c r="A269" s="177" t="s">
        <v>2694</v>
      </c>
      <c r="B269" s="150" t="s">
        <v>2695</v>
      </c>
      <c r="C269" s="197">
        <v>530.0</v>
      </c>
      <c r="D269" s="150" t="s">
        <v>670</v>
      </c>
      <c r="E269" s="150" t="s">
        <v>1029</v>
      </c>
      <c r="F269" s="219">
        <v>8.9161387599E10</v>
      </c>
      <c r="G269" s="178" t="s">
        <v>2696</v>
      </c>
      <c r="H269" s="305" t="s">
        <v>2697</v>
      </c>
      <c r="I269" s="154"/>
      <c r="J269" s="226" t="s">
        <v>2698</v>
      </c>
      <c r="K269" s="191"/>
      <c r="L269" s="154" t="s">
        <v>2699</v>
      </c>
      <c r="M269" s="154" t="s">
        <v>2700</v>
      </c>
      <c r="N269" s="150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</row>
    <row r="270">
      <c r="A270" s="314" t="s">
        <v>2701</v>
      </c>
      <c r="B270" s="180" t="s">
        <v>2702</v>
      </c>
      <c r="C270" s="181">
        <v>119.0</v>
      </c>
      <c r="D270" s="154" t="s">
        <v>1690</v>
      </c>
      <c r="E270" s="154"/>
      <c r="F270" s="188">
        <v>8.92016212E10</v>
      </c>
      <c r="G270" s="189" t="s">
        <v>2703</v>
      </c>
      <c r="H270" s="180" t="s">
        <v>2704</v>
      </c>
      <c r="I270" s="154"/>
      <c r="J270" s="154" t="s">
        <v>2705</v>
      </c>
      <c r="K270" s="154"/>
      <c r="L270" s="154"/>
      <c r="M270" s="191"/>
      <c r="N270" s="150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55"/>
    </row>
    <row r="271">
      <c r="A271" s="149" t="s">
        <v>2706</v>
      </c>
      <c r="B271" s="154"/>
      <c r="C271" s="151">
        <v>416.0</v>
      </c>
      <c r="D271" s="154" t="s">
        <v>2489</v>
      </c>
      <c r="E271" s="191"/>
      <c r="F271" s="151">
        <v>8.9165264643E10</v>
      </c>
      <c r="G271" s="178" t="s">
        <v>2707</v>
      </c>
      <c r="H271" s="154" t="s">
        <v>2708</v>
      </c>
      <c r="I271" s="154" t="s">
        <v>2709</v>
      </c>
      <c r="J271" s="154" t="s">
        <v>2709</v>
      </c>
      <c r="K271" s="154" t="s">
        <v>2710</v>
      </c>
      <c r="L271" s="154"/>
      <c r="M271" s="154"/>
      <c r="N271" s="154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</row>
    <row r="272">
      <c r="A272" s="179" t="s">
        <v>2711</v>
      </c>
      <c r="B272" s="187" t="s">
        <v>2712</v>
      </c>
      <c r="C272" s="186">
        <v>414.0</v>
      </c>
      <c r="D272" s="150"/>
      <c r="E272" s="187" t="s">
        <v>2713</v>
      </c>
      <c r="F272" s="186">
        <v>8.9772824445E10</v>
      </c>
      <c r="G272" s="193" t="s">
        <v>2714</v>
      </c>
      <c r="H272" s="187" t="s">
        <v>2715</v>
      </c>
      <c r="I272" s="191"/>
      <c r="J272" s="191"/>
      <c r="K272" s="150" t="s">
        <v>2716</v>
      </c>
      <c r="L272" s="150" t="s">
        <v>2717</v>
      </c>
      <c r="M272" s="154"/>
      <c r="N272" s="154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</row>
    <row r="273">
      <c r="A273" s="149" t="s">
        <v>2718</v>
      </c>
      <c r="B273" s="154"/>
      <c r="C273" s="151" t="s">
        <v>116</v>
      </c>
      <c r="D273" s="191"/>
      <c r="E273" s="154" t="s">
        <v>2719</v>
      </c>
      <c r="F273" s="151">
        <v>8.905532649E10</v>
      </c>
      <c r="G273" s="178" t="s">
        <v>2720</v>
      </c>
      <c r="H273" s="154" t="s">
        <v>2721</v>
      </c>
      <c r="I273" s="154" t="s">
        <v>2722</v>
      </c>
      <c r="J273" s="154" t="s">
        <v>2723</v>
      </c>
      <c r="K273" s="154" t="s">
        <v>2723</v>
      </c>
      <c r="L273" s="154"/>
      <c r="M273" s="150" t="s">
        <v>2724</v>
      </c>
      <c r="N273" s="150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</row>
    <row r="274">
      <c r="A274" s="177" t="s">
        <v>2725</v>
      </c>
      <c r="B274" s="150" t="s">
        <v>2726</v>
      </c>
      <c r="C274" s="197">
        <v>625.0</v>
      </c>
      <c r="D274" s="150" t="s">
        <v>717</v>
      </c>
      <c r="E274" s="191" t="s">
        <v>1029</v>
      </c>
      <c r="F274" s="197">
        <v>8.9013432763E10</v>
      </c>
      <c r="G274" s="198" t="s">
        <v>2727</v>
      </c>
      <c r="H274" s="150" t="s">
        <v>2728</v>
      </c>
      <c r="I274" s="191"/>
      <c r="J274" s="150" t="s">
        <v>2729</v>
      </c>
      <c r="K274" s="150" t="s">
        <v>2730</v>
      </c>
      <c r="L274" s="150" t="s">
        <v>2731</v>
      </c>
      <c r="M274" s="154"/>
      <c r="N274" s="154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</row>
    <row r="275">
      <c r="A275" s="177" t="s">
        <v>2732</v>
      </c>
      <c r="B275" s="150" t="s">
        <v>2733</v>
      </c>
      <c r="C275" s="197">
        <v>317.0</v>
      </c>
      <c r="D275" s="150" t="s">
        <v>2734</v>
      </c>
      <c r="E275" s="150" t="s">
        <v>2735</v>
      </c>
      <c r="F275" s="197">
        <v>8.9774994653E10</v>
      </c>
      <c r="G275" s="198" t="s">
        <v>2736</v>
      </c>
      <c r="H275" s="150" t="s">
        <v>2737</v>
      </c>
      <c r="I275" s="191"/>
      <c r="J275" s="150" t="s">
        <v>2738</v>
      </c>
      <c r="K275" s="191"/>
      <c r="L275" s="150" t="s">
        <v>2739</v>
      </c>
      <c r="M275" s="150" t="s">
        <v>2740</v>
      </c>
      <c r="N275" s="19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55"/>
    </row>
    <row r="276">
      <c r="A276" s="185" t="s">
        <v>2741</v>
      </c>
      <c r="B276" s="187" t="s">
        <v>2742</v>
      </c>
      <c r="C276" s="186">
        <v>315.0</v>
      </c>
      <c r="D276" s="150" t="s">
        <v>1690</v>
      </c>
      <c r="E276" s="191"/>
      <c r="F276" s="186">
        <v>8.9175736444E10</v>
      </c>
      <c r="G276" s="190" t="s">
        <v>2743</v>
      </c>
      <c r="H276" s="150" t="s">
        <v>2744</v>
      </c>
      <c r="I276" s="150" t="s">
        <v>2745</v>
      </c>
      <c r="J276" s="150" t="s">
        <v>2746</v>
      </c>
      <c r="K276" s="150" t="s">
        <v>2747</v>
      </c>
      <c r="L276" s="150" t="s">
        <v>2748</v>
      </c>
      <c r="M276" s="191"/>
      <c r="N276" s="19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55"/>
    </row>
    <row r="277">
      <c r="A277" s="185" t="s">
        <v>2749</v>
      </c>
      <c r="B277" s="187" t="s">
        <v>2750</v>
      </c>
      <c r="C277" s="186">
        <v>327.0</v>
      </c>
      <c r="D277" s="150" t="s">
        <v>2751</v>
      </c>
      <c r="E277" s="187" t="s">
        <v>1217</v>
      </c>
      <c r="F277" s="186" t="s">
        <v>2752</v>
      </c>
      <c r="G277" s="193" t="s">
        <v>2753</v>
      </c>
      <c r="H277" s="187" t="s">
        <v>2754</v>
      </c>
      <c r="I277" s="191"/>
      <c r="J277" s="150" t="s">
        <v>2755</v>
      </c>
      <c r="K277" s="150" t="s">
        <v>2756</v>
      </c>
      <c r="L277" s="150" t="s">
        <v>2756</v>
      </c>
      <c r="M277" s="191"/>
      <c r="N277" s="191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</row>
    <row r="278">
      <c r="A278" s="185" t="s">
        <v>2757</v>
      </c>
      <c r="B278" s="191"/>
      <c r="C278" s="186">
        <v>219.0</v>
      </c>
      <c r="D278" s="150" t="s">
        <v>2758</v>
      </c>
      <c r="E278" s="150" t="s">
        <v>2759</v>
      </c>
      <c r="F278" s="186">
        <v>8.9295661686E10</v>
      </c>
      <c r="G278" s="190" t="s">
        <v>2760</v>
      </c>
      <c r="H278" s="150" t="s">
        <v>2761</v>
      </c>
      <c r="I278" s="191"/>
      <c r="J278" s="150" t="s">
        <v>2762</v>
      </c>
      <c r="K278" s="191"/>
      <c r="L278" s="191"/>
      <c r="M278" s="354" t="s">
        <v>2763</v>
      </c>
      <c r="N278" s="19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</row>
    <row r="279">
      <c r="A279" s="253" t="s">
        <v>2764</v>
      </c>
      <c r="B279" s="161" t="s">
        <v>2765</v>
      </c>
      <c r="C279" s="355">
        <v>106.0</v>
      </c>
      <c r="D279" s="194"/>
      <c r="E279" s="194"/>
      <c r="F279" s="355" t="s">
        <v>2766</v>
      </c>
      <c r="G279" s="356" t="s">
        <v>2767</v>
      </c>
      <c r="H279" s="357" t="s">
        <v>2768</v>
      </c>
      <c r="I279" s="194"/>
      <c r="J279" s="194"/>
      <c r="K279" s="194"/>
      <c r="L279" s="194"/>
      <c r="M279" s="194"/>
      <c r="N279" s="194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</row>
    <row r="280">
      <c r="A280" s="256" t="s">
        <v>2769</v>
      </c>
      <c r="B280" s="161" t="s">
        <v>2770</v>
      </c>
      <c r="C280" s="248">
        <v>630.0</v>
      </c>
      <c r="D280" s="161" t="s">
        <v>2771</v>
      </c>
      <c r="E280" s="161" t="s">
        <v>2772</v>
      </c>
      <c r="F280" s="282">
        <v>8.9777501197E10</v>
      </c>
      <c r="G280" s="196" t="s">
        <v>2773</v>
      </c>
      <c r="H280" s="358" t="s">
        <v>2774</v>
      </c>
      <c r="I280" s="359" t="s">
        <v>2775</v>
      </c>
      <c r="J280" s="360" t="s">
        <v>2776</v>
      </c>
      <c r="K280" s="161" t="s">
        <v>2777</v>
      </c>
      <c r="L280" s="161" t="s">
        <v>2778</v>
      </c>
      <c r="M280" s="194"/>
      <c r="N280" s="194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</row>
    <row r="281">
      <c r="A281" s="253" t="s">
        <v>2779</v>
      </c>
      <c r="B281" s="357" t="s">
        <v>2780</v>
      </c>
      <c r="C281" s="355">
        <v>415.0</v>
      </c>
      <c r="D281" s="161" t="s">
        <v>1539</v>
      </c>
      <c r="E281" s="357" t="s">
        <v>1019</v>
      </c>
      <c r="F281" s="355">
        <v>8.9169080729E10</v>
      </c>
      <c r="G281" s="361" t="s">
        <v>2781</v>
      </c>
      <c r="H281" s="357" t="s">
        <v>2782</v>
      </c>
      <c r="I281" s="194"/>
      <c r="J281" s="194"/>
      <c r="K281" s="161" t="s">
        <v>2783</v>
      </c>
      <c r="L281" s="161" t="s">
        <v>2784</v>
      </c>
      <c r="M281" s="161" t="s">
        <v>2785</v>
      </c>
      <c r="N281" s="194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55"/>
    </row>
    <row r="282">
      <c r="A282" s="253" t="s">
        <v>2786</v>
      </c>
      <c r="B282" s="357" t="s">
        <v>2787</v>
      </c>
      <c r="C282" s="355">
        <v>617.0</v>
      </c>
      <c r="D282" s="161" t="s">
        <v>1165</v>
      </c>
      <c r="E282" s="194" t="s">
        <v>1029</v>
      </c>
      <c r="F282" s="355">
        <v>8.9262136119E10</v>
      </c>
      <c r="G282" s="361" t="s">
        <v>2788</v>
      </c>
      <c r="H282" s="161" t="s">
        <v>2789</v>
      </c>
      <c r="I282" s="196" t="s">
        <v>2790</v>
      </c>
      <c r="J282" s="194"/>
      <c r="K282" s="161" t="s">
        <v>2791</v>
      </c>
      <c r="L282" s="161" t="s">
        <v>2792</v>
      </c>
      <c r="M282" s="161" t="s">
        <v>2793</v>
      </c>
      <c r="N282" s="196" t="s">
        <v>2794</v>
      </c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</row>
    <row r="283">
      <c r="A283" s="254" t="s">
        <v>2795</v>
      </c>
      <c r="B283" s="357" t="s">
        <v>2796</v>
      </c>
      <c r="C283" s="355">
        <v>423.0</v>
      </c>
      <c r="D283" s="161" t="s">
        <v>1288</v>
      </c>
      <c r="E283" s="161" t="s">
        <v>1029</v>
      </c>
      <c r="F283" s="351" t="s">
        <v>2797</v>
      </c>
      <c r="G283" s="362" t="s">
        <v>2798</v>
      </c>
      <c r="H283" s="363" t="s">
        <v>2799</v>
      </c>
      <c r="I283" s="283" t="s">
        <v>2800</v>
      </c>
      <c r="J283" s="194"/>
      <c r="K283" s="155" t="s">
        <v>2801</v>
      </c>
      <c r="L283" s="155" t="s">
        <v>2802</v>
      </c>
      <c r="M283" s="161" t="s">
        <v>2803</v>
      </c>
      <c r="N283" s="194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</row>
    <row r="284">
      <c r="A284" s="253" t="s">
        <v>2804</v>
      </c>
      <c r="B284" s="357" t="s">
        <v>2805</v>
      </c>
      <c r="C284" s="355">
        <v>305.0</v>
      </c>
      <c r="D284" s="161" t="s">
        <v>1828</v>
      </c>
      <c r="E284" s="161" t="s">
        <v>1920</v>
      </c>
      <c r="F284" s="355">
        <v>8.916562253E10</v>
      </c>
      <c r="G284" s="356" t="s">
        <v>2806</v>
      </c>
      <c r="H284" s="161" t="s">
        <v>2807</v>
      </c>
      <c r="I284" s="194"/>
      <c r="J284" s="161" t="s">
        <v>2808</v>
      </c>
      <c r="K284" s="161" t="s">
        <v>2809</v>
      </c>
      <c r="L284" s="161" t="s">
        <v>2810</v>
      </c>
      <c r="M284" s="161" t="s">
        <v>2811</v>
      </c>
      <c r="N284" s="161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</row>
    <row r="285">
      <c r="A285" s="256" t="s">
        <v>2812</v>
      </c>
      <c r="B285" s="161" t="s">
        <v>2813</v>
      </c>
      <c r="C285" s="248">
        <v>117.0</v>
      </c>
      <c r="D285" s="161" t="s">
        <v>2814</v>
      </c>
      <c r="E285" s="161" t="s">
        <v>1147</v>
      </c>
      <c r="F285" s="248">
        <v>89257954999</v>
      </c>
      <c r="G285" s="364" t="s">
        <v>2815</v>
      </c>
      <c r="H285" s="161" t="s">
        <v>2816</v>
      </c>
      <c r="I285" s="194"/>
      <c r="J285" s="194"/>
      <c r="K285" s="161" t="s">
        <v>2817</v>
      </c>
      <c r="L285" s="194"/>
      <c r="M285" s="161" t="s">
        <v>2818</v>
      </c>
      <c r="N285" s="194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55"/>
    </row>
    <row r="286">
      <c r="A286" s="365" t="s">
        <v>2819</v>
      </c>
      <c r="B286" s="194"/>
      <c r="C286" s="355">
        <v>202.0</v>
      </c>
      <c r="D286" s="161" t="s">
        <v>2820</v>
      </c>
      <c r="E286" s="161" t="s">
        <v>744</v>
      </c>
      <c r="F286" s="355">
        <v>8.968765286E10</v>
      </c>
      <c r="G286" s="366" t="s">
        <v>2821</v>
      </c>
      <c r="H286" s="367" t="s">
        <v>2822</v>
      </c>
      <c r="I286" s="368" t="s">
        <v>2823</v>
      </c>
      <c r="J286" s="161" t="s">
        <v>2823</v>
      </c>
      <c r="K286" s="161" t="s">
        <v>2823</v>
      </c>
      <c r="L286" s="194"/>
      <c r="M286" s="194"/>
      <c r="N286" s="194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</row>
    <row r="287">
      <c r="A287" s="365" t="s">
        <v>2824</v>
      </c>
      <c r="B287" s="357" t="s">
        <v>2825</v>
      </c>
      <c r="C287" s="355">
        <v>219.0</v>
      </c>
      <c r="D287" s="161" t="s">
        <v>2826</v>
      </c>
      <c r="E287" s="194" t="s">
        <v>1029</v>
      </c>
      <c r="F287" s="355">
        <v>8.9170162211E10</v>
      </c>
      <c r="G287" s="366" t="s">
        <v>2827</v>
      </c>
      <c r="H287" s="369" t="s">
        <v>2828</v>
      </c>
      <c r="I287" s="370" t="s">
        <v>2829</v>
      </c>
      <c r="J287" s="161" t="s">
        <v>2830</v>
      </c>
      <c r="K287" s="161" t="s">
        <v>2831</v>
      </c>
      <c r="L287" s="161" t="s">
        <v>2832</v>
      </c>
      <c r="M287" s="194"/>
      <c r="N287" s="194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</row>
    <row r="288">
      <c r="A288" s="256" t="s">
        <v>2833</v>
      </c>
      <c r="B288" s="357" t="s">
        <v>2834</v>
      </c>
      <c r="C288" s="355">
        <v>424.0</v>
      </c>
      <c r="D288" s="357" t="s">
        <v>2835</v>
      </c>
      <c r="E288" s="194" t="s">
        <v>1029</v>
      </c>
      <c r="F288" s="355" t="s">
        <v>2836</v>
      </c>
      <c r="G288" s="361" t="s">
        <v>2837</v>
      </c>
      <c r="H288" s="357" t="s">
        <v>2838</v>
      </c>
      <c r="I288" s="194"/>
      <c r="J288" s="194"/>
      <c r="K288" s="161" t="s">
        <v>2839</v>
      </c>
      <c r="L288" s="161" t="s">
        <v>2840</v>
      </c>
      <c r="M288" s="161" t="s">
        <v>2841</v>
      </c>
      <c r="N288" s="194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55"/>
    </row>
    <row r="289">
      <c r="A289" s="371" t="s">
        <v>2842</v>
      </c>
      <c r="B289" s="161" t="s">
        <v>2843</v>
      </c>
      <c r="C289" s="372">
        <v>218.0</v>
      </c>
      <c r="D289" s="194"/>
      <c r="E289" s="194" t="s">
        <v>1029</v>
      </c>
      <c r="F289" s="373" t="s">
        <v>2844</v>
      </c>
      <c r="G289" s="361" t="s">
        <v>2845</v>
      </c>
      <c r="H289" s="373" t="s">
        <v>2846</v>
      </c>
      <c r="I289" s="194"/>
      <c r="J289" s="194"/>
      <c r="K289" s="194"/>
      <c r="L289" s="194"/>
      <c r="M289" s="161" t="s">
        <v>2847</v>
      </c>
      <c r="N289" s="194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</row>
    <row r="290">
      <c r="A290" s="253" t="s">
        <v>2848</v>
      </c>
      <c r="B290" s="357" t="s">
        <v>2849</v>
      </c>
      <c r="C290" s="355">
        <v>407.0</v>
      </c>
      <c r="D290" s="161" t="s">
        <v>1532</v>
      </c>
      <c r="E290" s="357" t="s">
        <v>1069</v>
      </c>
      <c r="F290" s="355">
        <v>8.9226427563E10</v>
      </c>
      <c r="G290" s="196" t="s">
        <v>2850</v>
      </c>
      <c r="H290" s="161" t="s">
        <v>2851</v>
      </c>
      <c r="I290" s="194"/>
      <c r="J290" s="161" t="s">
        <v>2852</v>
      </c>
      <c r="K290" s="161" t="s">
        <v>2853</v>
      </c>
      <c r="L290" s="161" t="s">
        <v>2854</v>
      </c>
      <c r="M290" s="194"/>
      <c r="N290" s="194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</row>
    <row r="291">
      <c r="A291" s="253" t="s">
        <v>2855</v>
      </c>
      <c r="B291" s="161" t="s">
        <v>2856</v>
      </c>
      <c r="C291" s="355">
        <v>241.0</v>
      </c>
      <c r="D291" s="357" t="s">
        <v>2857</v>
      </c>
      <c r="E291" s="194" t="s">
        <v>1029</v>
      </c>
      <c r="F291" s="355" t="s">
        <v>2858</v>
      </c>
      <c r="G291" s="356" t="s">
        <v>2859</v>
      </c>
      <c r="H291" s="357" t="s">
        <v>2860</v>
      </c>
      <c r="I291" s="194"/>
      <c r="J291" s="194"/>
      <c r="K291" s="161" t="s">
        <v>2861</v>
      </c>
      <c r="L291" s="161" t="s">
        <v>2862</v>
      </c>
      <c r="M291" s="161" t="s">
        <v>2863</v>
      </c>
      <c r="N291" s="194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55"/>
    </row>
    <row r="292">
      <c r="A292" s="374" t="s">
        <v>2864</v>
      </c>
      <c r="B292" s="357" t="s">
        <v>2865</v>
      </c>
      <c r="C292" s="355">
        <v>428.0</v>
      </c>
      <c r="D292" s="161" t="s">
        <v>1172</v>
      </c>
      <c r="E292" s="161" t="s">
        <v>1282</v>
      </c>
      <c r="F292" s="355">
        <v>8.9601962429E10</v>
      </c>
      <c r="G292" s="356" t="s">
        <v>2866</v>
      </c>
      <c r="H292" s="375" t="s">
        <v>2867</v>
      </c>
      <c r="I292" s="161" t="s">
        <v>2868</v>
      </c>
      <c r="J292" s="161" t="s">
        <v>2869</v>
      </c>
      <c r="K292" s="161" t="s">
        <v>2869</v>
      </c>
      <c r="L292" s="276" t="s">
        <v>2870</v>
      </c>
      <c r="M292" s="161" t="s">
        <v>2871</v>
      </c>
      <c r="N292" s="194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</row>
    <row r="293">
      <c r="A293" s="253" t="s">
        <v>2872</v>
      </c>
      <c r="B293" s="357" t="s">
        <v>2873</v>
      </c>
      <c r="C293" s="355">
        <v>315.0</v>
      </c>
      <c r="D293" s="161" t="s">
        <v>2874</v>
      </c>
      <c r="E293" s="357" t="s">
        <v>1920</v>
      </c>
      <c r="F293" s="376">
        <v>7.9500378994E10</v>
      </c>
      <c r="G293" s="183" t="s">
        <v>2875</v>
      </c>
      <c r="H293" s="363" t="s">
        <v>2876</v>
      </c>
      <c r="I293" s="155"/>
      <c r="J293" s="194"/>
      <c r="K293" s="194"/>
      <c r="L293" s="194"/>
      <c r="M293" s="194"/>
      <c r="N293" s="194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55"/>
    </row>
    <row r="294">
      <c r="A294" s="377" t="s">
        <v>2877</v>
      </c>
      <c r="B294" s="155"/>
      <c r="C294" s="281">
        <v>213.0</v>
      </c>
      <c r="D294" s="155" t="s">
        <v>2878</v>
      </c>
      <c r="E294" s="155" t="s">
        <v>2879</v>
      </c>
      <c r="F294" s="378">
        <v>8.9851991416E10</v>
      </c>
      <c r="G294" s="283" t="s">
        <v>2880</v>
      </c>
      <c r="H294" s="379" t="s">
        <v>2881</v>
      </c>
      <c r="I294" s="380" t="s">
        <v>2882</v>
      </c>
      <c r="J294" s="380" t="s">
        <v>2882</v>
      </c>
      <c r="K294" s="380" t="s">
        <v>2882</v>
      </c>
      <c r="L294" s="155"/>
      <c r="M294" s="356" t="s">
        <v>2883</v>
      </c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55"/>
    </row>
    <row r="295">
      <c r="A295" s="381" t="s">
        <v>2884</v>
      </c>
      <c r="B295" s="250" t="s">
        <v>2885</v>
      </c>
      <c r="C295" s="248">
        <v>630.0</v>
      </c>
      <c r="D295" s="161" t="s">
        <v>2886</v>
      </c>
      <c r="E295" s="161" t="s">
        <v>1147</v>
      </c>
      <c r="F295" s="378">
        <v>8.9087565371E10</v>
      </c>
      <c r="G295" s="382" t="s">
        <v>2887</v>
      </c>
      <c r="H295" s="284" t="s">
        <v>2888</v>
      </c>
      <c r="I295" s="383" t="s">
        <v>2889</v>
      </c>
      <c r="J295" s="240" t="s">
        <v>2890</v>
      </c>
      <c r="K295" s="155" t="s">
        <v>2891</v>
      </c>
      <c r="L295" s="380" t="s">
        <v>2892</v>
      </c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</row>
    <row r="296">
      <c r="A296" s="255" t="s">
        <v>2893</v>
      </c>
      <c r="B296" s="155" t="s">
        <v>2894</v>
      </c>
      <c r="C296" s="281">
        <v>530.0</v>
      </c>
      <c r="D296" s="155" t="s">
        <v>670</v>
      </c>
      <c r="E296" s="155" t="s">
        <v>1920</v>
      </c>
      <c r="F296" s="281">
        <v>8.9290434867E10</v>
      </c>
      <c r="G296" s="382" t="s">
        <v>2895</v>
      </c>
      <c r="H296" s="250" t="s">
        <v>2896</v>
      </c>
      <c r="I296" s="155"/>
      <c r="J296" s="155"/>
      <c r="K296" s="384" t="s">
        <v>2897</v>
      </c>
      <c r="L296" s="155"/>
      <c r="M296" s="155" t="s">
        <v>2898</v>
      </c>
      <c r="N296" s="196" t="s">
        <v>2899</v>
      </c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</row>
    <row r="297">
      <c r="A297" s="385" t="s">
        <v>2900</v>
      </c>
      <c r="B297" s="155" t="s">
        <v>2901</v>
      </c>
      <c r="C297" s="386">
        <v>107.0</v>
      </c>
      <c r="D297" s="155"/>
      <c r="E297" s="155" t="s">
        <v>1029</v>
      </c>
      <c r="F297" s="387" t="s">
        <v>2902</v>
      </c>
      <c r="G297" s="362" t="s">
        <v>2903</v>
      </c>
      <c r="H297" s="387" t="s">
        <v>2904</v>
      </c>
      <c r="I297" s="155"/>
      <c r="J297" s="155"/>
      <c r="K297" s="155"/>
      <c r="L297" s="155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</row>
    <row r="298">
      <c r="A298" s="254" t="s">
        <v>2905</v>
      </c>
      <c r="B298" s="357" t="s">
        <v>2906</v>
      </c>
      <c r="C298" s="355">
        <v>523.0</v>
      </c>
      <c r="D298" s="161" t="s">
        <v>2907</v>
      </c>
      <c r="E298" s="357" t="s">
        <v>1361</v>
      </c>
      <c r="F298" s="355">
        <v>79162180877</v>
      </c>
      <c r="G298" s="361" t="s">
        <v>2908</v>
      </c>
      <c r="H298" s="357" t="s">
        <v>2909</v>
      </c>
      <c r="I298" s="194"/>
      <c r="J298" s="194"/>
      <c r="K298" s="161" t="s">
        <v>2910</v>
      </c>
      <c r="L298" s="161" t="s">
        <v>2911</v>
      </c>
      <c r="M298" s="161"/>
      <c r="N298" s="161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</row>
    <row r="299">
      <c r="A299" s="388" t="s">
        <v>2912</v>
      </c>
      <c r="B299" s="161" t="s">
        <v>2913</v>
      </c>
      <c r="C299" s="248">
        <v>630.0</v>
      </c>
      <c r="D299" s="161" t="s">
        <v>2914</v>
      </c>
      <c r="E299" s="194" t="s">
        <v>1029</v>
      </c>
      <c r="F299" s="248">
        <v>8.9774009341E10</v>
      </c>
      <c r="G299" s="389" t="s">
        <v>2915</v>
      </c>
      <c r="H299" s="390" t="s">
        <v>2916</v>
      </c>
      <c r="I299" s="391"/>
      <c r="J299" s="161" t="s">
        <v>2917</v>
      </c>
      <c r="K299" s="161" t="s">
        <v>2918</v>
      </c>
      <c r="L299" s="161" t="s">
        <v>2917</v>
      </c>
      <c r="M299" s="161" t="s">
        <v>2919</v>
      </c>
      <c r="N299" s="161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</row>
    <row r="300">
      <c r="A300" s="179" t="s">
        <v>2920</v>
      </c>
      <c r="B300" s="187" t="s">
        <v>2921</v>
      </c>
      <c r="C300" s="186">
        <v>522.0</v>
      </c>
      <c r="D300" s="150" t="s">
        <v>2922</v>
      </c>
      <c r="E300" s="150" t="s">
        <v>2923</v>
      </c>
      <c r="F300" s="181">
        <v>8.918882284E10</v>
      </c>
      <c r="G300" s="159" t="s">
        <v>2924</v>
      </c>
      <c r="H300" s="154" t="s">
        <v>2925</v>
      </c>
      <c r="I300" s="191"/>
      <c r="J300" s="191"/>
      <c r="K300" s="191"/>
      <c r="L300" s="191"/>
      <c r="M300" s="152" t="s">
        <v>2926</v>
      </c>
      <c r="N300" s="19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55"/>
    </row>
    <row r="301">
      <c r="A301" s="392" t="s">
        <v>2927</v>
      </c>
      <c r="B301" s="150" t="s">
        <v>2928</v>
      </c>
      <c r="C301" s="197">
        <v>530.0</v>
      </c>
      <c r="D301" s="150" t="s">
        <v>670</v>
      </c>
      <c r="E301" s="150" t="s">
        <v>2929</v>
      </c>
      <c r="F301" s="151">
        <v>8.9262655405E10</v>
      </c>
      <c r="G301" s="178" t="s">
        <v>2927</v>
      </c>
      <c r="H301" s="154" t="s">
        <v>2930</v>
      </c>
      <c r="I301" s="154" t="s">
        <v>2931</v>
      </c>
      <c r="J301" s="150" t="s">
        <v>2932</v>
      </c>
      <c r="K301" s="154" t="s">
        <v>2933</v>
      </c>
      <c r="L301" s="191"/>
      <c r="M301" s="154" t="s">
        <v>2934</v>
      </c>
      <c r="N301" s="161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</row>
    <row r="302">
      <c r="A302" s="10" t="s">
        <v>2935</v>
      </c>
      <c r="B302" s="2" t="str">
        <f>LEFT(A302,FIND(CHAR(160),SUBSTITUTE(A302," ",CHAR(160),2)) - 1)</f>
        <v>Мороз Виктор</v>
      </c>
      <c r="C302" s="9">
        <v>421.0</v>
      </c>
      <c r="D302" s="10" t="s">
        <v>2936</v>
      </c>
      <c r="E302" s="2" t="str">
        <f t="array" ref="E302">IF(ISERROR(MATCH(1,INDEX(('Списки блоков'!$B$2:$B1010=B302)*(ROW('Списки блоков'!$B$2:$B1010)&lt;&gt;ROW('Списки блоков'!$B$3)),0),0)),"","БДНС,")
&amp;IF(ISERROR(MATCH(1,INDEX(('Списки блоков'!$C$2:$C1010=B302)*(ROW('Списки блоков'!$C$2:$C1010)&lt;&gt;ROW('Списки блоков'!$C$3)),0),0)),"","Видеолаба,")
&amp;IF(ISERROR(MATCH(1,INDEX(('Списки блоков'!$D$2:$D1010=B302)*(ROW('Списки блоков'!$D$2:$D1010)&lt;&gt;ROW('Списки блоков'!$D$3)),0),0)),"","Декораторы,")
&amp;IF(ISERROR(MATCH(1,INDEX(('Списки блоков'!$E$2:$E1010=B302)*(ROW('Списки блоков'!$E$2:$E1010)&lt;&gt;ROW('Списки блоков'!$E$3)),0),0)),"","Дизайн,")
&amp;IF(ISERROR(MATCH(1,INDEX(('Списки блоков'!$F$2:$F1010=B302)*(ROW('Списки блоков'!$F$2:$F1010)&lt;&gt;ROW('Списки блоков'!$F$3)),0),0)),"","Досуг,")
&amp;IF(ISERROR(MATCH(1,INDEX(('Списки блоков'!$G$2:$G1010=B302)*(ROW('Списки блоков'!$G$2:$G1010)&lt;&gt;ROW('Списки блоков'!$G$3)),0),0)),"","Закупки,")
&amp;IF(ISERROR(MATCH(1,INDEX(('Списки блоков'!$H$2:$H1010=B302)*(ROW('Списки блоков'!$H$2:$H1010)&lt;&gt;ROW('Списки блоков'!$H$3)),0),0)),"","ИнфоБлок,")
&amp;IF(ISERROR(MATCH(1,INDEX(('Списки блоков'!$I$2:$I1010=B302)*(ROW('Списки блоков'!$I$2:$I1010)&lt;&gt;ROW('Списки блоков'!$I$3)),0),0)),"","КГ,")
&amp;IF(ISERROR(MATCH(1,INDEX(('Списки блоков'!$J$2:$J1010=B302)*(ROW('Списки блоков'!$J$2:$J1010)&lt;&gt;ROW('Списки блоков'!$J$3)),0),0)),"","МП,")
&amp;IF(ISERROR(MATCH(1,INDEX(('Списки блоков'!$K$2:$K1010=B302)*(ROW('Списки блоков'!$K$2:$K1010)&lt;&gt;ROW('Списки блоков'!$K$3)),0),0)),"","Профорги,")
&amp;IF(ISERROR(MATCH(1,INDEX(('Списки блоков'!$L$2:$L1010=B302)*(ROW('Списки блоков'!$L$2:$L1010)&lt;&gt;ROW('Списки блоков'!$L$3)),0),0)),"","Спонсоры,")
&amp;IF(ISERROR(MATCH(1,INDEX(('Списки блоков'!$M$2:$M1010=B302)*(ROW('Списки блоков'!$M$2:$M1010)&lt;&gt;ROW('Списки блоков'!$M$3)),0),0)),"","Склад,")
&amp;IF(ISERROR(MATCH(1,INDEX(('Списки блоков'!$N$2:$N1010=B302)*(ROW('Списки блоков'!$N$2:$N1010)&lt;&gt;ROW('Списки блоков'!$N$3)),0),0)),"","Сценаристы,")
&amp;IF(ISERROR(MATCH(1,INDEX(('Списки блоков'!$O$2:$O1010=B302)*(ROW('Списки блоков'!$O$2:$O1010)&lt;&gt;ROW('Списки блоков'!$O$3)),0),0)),"","Техники,")
&amp;IF(ISERROR(MATCH(1,INDEX(('Списки блоков'!$P$2:$P1010=B302)*(ROW('Списки блоков'!$P$2:$P1010)&lt;&gt;ROW('Списки блоков'!$P$3)),0),0)),"","УРС,")
&amp;IF(ISERROR(MATCH(1,INDEX(('Списки блоков'!$Q$2:$Q1010=B302)*(ROW('Списки блоков'!$Q$2:$Q1010)&lt;&gt;ROW('Списки блоков'!$Q$3)),0),0)),"","Фото,")
&amp;IF(ISERROR(MATCH(1,INDEX((#REF!=B302)*(ROW(#REF!)&lt;&gt;ROW(#REF!)),0),0)),"","ЭкоБлок,")
&amp;IF(ISERROR(MATCH(1,INDEX(('Списки блоков'!$R$2:$R1010=B302)*(ROW('Списки блоков'!$R$2:$R1010)&lt;&gt;ROW('Списки блоков'!$R$3)),0),0)),"","HR,")
&amp;IF(ISERROR(MATCH(1,INDEX(('Списки блоков'!$S$2:$S1010=B302)*(ROW('Списки блоков'!$S$2:$S1010)&lt;&gt;ROW('Списки блоков'!$S$3)),0),0)),"","Instagram,")
&amp;IF(ISERROR(MATCH(1,INDEX(('Списки блоков'!$T$2:$T1010=B302)*(ROW('Списки блоков'!$T$2:$T1010)&lt;&gt;ROW('Списки блоков'!$T$3)),0),0)),"","Zachёt,")
&amp;IF(ISERROR(MATCH(1,INDEX(('Списки блоков'!$U$2:$U1010=B302)*(ROW('Списки блоков'!$U$2:$U1010)&lt;&gt;ROW('Списки блоков'!$U$3)),0),0)),"","IT,")
&amp;IF(ISERROR(MATCH(1,INDEX(('Списки блоков'!$V$2:$V1010=B302)*(ROW('Списки блоков'!$V$2:$V1010)&lt;&gt;ROW('Списки блоков'!$V$3)),0),0)),"","ДК,")
</f>
        <v/>
      </c>
      <c r="F302" s="11">
        <v>8.9032919979E10</v>
      </c>
      <c r="G302" s="12" t="s">
        <v>2937</v>
      </c>
      <c r="H302" s="12" t="s">
        <v>2938</v>
      </c>
      <c r="I302" s="10" t="s">
        <v>2939</v>
      </c>
      <c r="J302" s="6" t="s">
        <v>22</v>
      </c>
      <c r="AA302" s="155"/>
      <c r="AB302" s="155"/>
      <c r="AC302" s="155"/>
      <c r="AD302" s="155"/>
      <c r="AE302" s="155"/>
    </row>
    <row r="303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</row>
    <row r="304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</row>
    <row r="305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</row>
    <row r="306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</row>
    <row r="307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</row>
    <row r="308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</row>
    <row r="309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</row>
    <row r="310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</row>
    <row r="31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</row>
    <row r="312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</row>
    <row r="313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</row>
    <row r="314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</row>
    <row r="315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</row>
    <row r="316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</row>
    <row r="317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</row>
    <row r="318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</row>
    <row r="319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</row>
    <row r="320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</row>
    <row r="32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</row>
    <row r="322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</row>
    <row r="323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</row>
    <row r="324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</row>
    <row r="325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</row>
    <row r="326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</row>
    <row r="327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</row>
    <row r="328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</row>
    <row r="329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</row>
    <row r="330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</row>
    <row r="33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</row>
    <row r="332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</row>
    <row r="333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</row>
    <row r="334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</row>
    <row r="335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</row>
    <row r="336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</row>
    <row r="337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</row>
    <row r="338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</row>
    <row r="339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</row>
    <row r="340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</row>
    <row r="34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</row>
    <row r="342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</row>
    <row r="343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</row>
    <row r="344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</row>
    <row r="345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</row>
    <row r="346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</row>
    <row r="347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</row>
    <row r="348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</row>
    <row r="349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</row>
    <row r="350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</row>
    <row r="35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</row>
    <row r="352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</row>
    <row r="353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</row>
    <row r="354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</row>
    <row r="355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</row>
    <row r="356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</row>
    <row r="357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</row>
    <row r="358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</row>
    <row r="359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</row>
    <row r="360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</row>
    <row r="36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</row>
    <row r="362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</row>
    <row r="363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</row>
    <row r="364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</row>
    <row r="365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</row>
    <row r="366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</row>
    <row r="367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</row>
    <row r="368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</row>
    <row r="369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</row>
    <row r="370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</row>
    <row r="37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</row>
    <row r="372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</row>
    <row r="373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</row>
    <row r="374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</row>
    <row r="375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</row>
    <row r="376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</row>
    <row r="377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</row>
    <row r="378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</row>
    <row r="379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</row>
    <row r="380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</row>
    <row r="38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</row>
    <row r="382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</row>
    <row r="383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</row>
    <row r="384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</row>
    <row r="385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</row>
    <row r="386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</row>
    <row r="387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</row>
    <row r="388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</row>
    <row r="389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</row>
    <row r="390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</row>
    <row r="39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</row>
    <row r="392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</row>
    <row r="393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</row>
    <row r="394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</row>
    <row r="395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</row>
    <row r="396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</row>
    <row r="397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</row>
    <row r="398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</row>
    <row r="399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</row>
    <row r="400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</row>
    <row r="40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</row>
    <row r="402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</row>
    <row r="403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</row>
    <row r="404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</row>
    <row r="405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</row>
    <row r="406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</row>
    <row r="407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</row>
    <row r="408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</row>
    <row r="409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</row>
    <row r="410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</row>
    <row r="41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</row>
    <row r="412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</row>
    <row r="413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</row>
    <row r="414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</row>
    <row r="415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</row>
    <row r="416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</row>
    <row r="417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</row>
    <row r="418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</row>
    <row r="419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</row>
    <row r="420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</row>
    <row r="42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</row>
    <row r="422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</row>
    <row r="423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</row>
    <row r="424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</row>
    <row r="425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</row>
    <row r="426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</row>
    <row r="427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</row>
    <row r="428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</row>
    <row r="429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</row>
    <row r="430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</row>
    <row r="43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</row>
    <row r="432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</row>
    <row r="433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</row>
    <row r="434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</row>
    <row r="435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</row>
    <row r="436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</row>
    <row r="437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</row>
    <row r="438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</row>
    <row r="439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</row>
    <row r="440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</row>
    <row r="44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</row>
    <row r="442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</row>
    <row r="443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</row>
    <row r="444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</row>
    <row r="445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</row>
    <row r="446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</row>
    <row r="447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</row>
    <row r="448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</row>
    <row r="449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</row>
    <row r="450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</row>
    <row r="45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</row>
    <row r="452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</row>
    <row r="453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</row>
    <row r="454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</row>
    <row r="455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</row>
    <row r="456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</row>
    <row r="457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</row>
    <row r="458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</row>
    <row r="459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</row>
    <row r="460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</row>
    <row r="46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</row>
    <row r="462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</row>
    <row r="463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</row>
    <row r="464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</row>
    <row r="465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</row>
    <row r="466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</row>
    <row r="467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</row>
    <row r="468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</row>
    <row r="469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</row>
    <row r="470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</row>
    <row r="47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</row>
    <row r="472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</row>
    <row r="473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</row>
    <row r="474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</row>
    <row r="475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</row>
    <row r="476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</row>
    <row r="477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</row>
    <row r="478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</row>
    <row r="479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</row>
    <row r="480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</row>
    <row r="48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</row>
    <row r="482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</row>
    <row r="483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</row>
    <row r="484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</row>
    <row r="485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</row>
    <row r="486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</row>
    <row r="487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</row>
    <row r="488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</row>
    <row r="489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</row>
    <row r="490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</row>
    <row r="49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</row>
    <row r="492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</row>
    <row r="493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</row>
    <row r="494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</row>
    <row r="495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</row>
    <row r="496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</row>
    <row r="497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</row>
    <row r="498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</row>
    <row r="499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</row>
    <row r="500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</row>
    <row r="50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</row>
    <row r="502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</row>
    <row r="503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</row>
    <row r="504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</row>
    <row r="505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</row>
    <row r="506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</row>
    <row r="507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</row>
    <row r="508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</row>
    <row r="509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</row>
    <row r="510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</row>
    <row r="51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</row>
    <row r="512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</row>
    <row r="513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</row>
    <row r="514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</row>
    <row r="515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</row>
    <row r="516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</row>
    <row r="517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</row>
    <row r="518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</row>
    <row r="519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</row>
    <row r="520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</row>
    <row r="52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</row>
    <row r="522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</row>
    <row r="523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</row>
    <row r="524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</row>
    <row r="525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</row>
    <row r="526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</row>
    <row r="527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</row>
    <row r="528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</row>
    <row r="529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</row>
    <row r="530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</row>
    <row r="53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</row>
    <row r="532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</row>
    <row r="533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</row>
    <row r="534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</row>
    <row r="535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</row>
    <row r="536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</row>
    <row r="537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</row>
    <row r="538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</row>
    <row r="539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</row>
    <row r="540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</row>
    <row r="54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</row>
    <row r="542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</row>
    <row r="543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</row>
    <row r="544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</row>
    <row r="545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</row>
    <row r="546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</row>
    <row r="547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</row>
    <row r="548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</row>
    <row r="549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</row>
    <row r="550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</row>
    <row r="55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</row>
    <row r="552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</row>
    <row r="553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</row>
    <row r="554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</row>
    <row r="555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</row>
    <row r="556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</row>
    <row r="557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</row>
    <row r="558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</row>
    <row r="559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</row>
    <row r="560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</row>
    <row r="56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</row>
    <row r="562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</row>
    <row r="563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</row>
    <row r="564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</row>
    <row r="565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</row>
    <row r="566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</row>
    <row r="567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</row>
    <row r="568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</row>
    <row r="569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</row>
    <row r="570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</row>
    <row r="57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</row>
    <row r="572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</row>
    <row r="573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</row>
    <row r="574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</row>
    <row r="575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</row>
    <row r="576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</row>
    <row r="577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</row>
    <row r="578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</row>
    <row r="579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</row>
    <row r="580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</row>
    <row r="58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</row>
    <row r="582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</row>
    <row r="583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</row>
    <row r="584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</row>
    <row r="585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</row>
    <row r="586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</row>
    <row r="587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</row>
    <row r="588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</row>
    <row r="589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</row>
    <row r="590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</row>
    <row r="59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</row>
    <row r="592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</row>
    <row r="593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</row>
    <row r="594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</row>
    <row r="595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</row>
    <row r="596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</row>
    <row r="597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</row>
    <row r="598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</row>
    <row r="599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</row>
    <row r="600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</row>
    <row r="60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</row>
    <row r="602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</row>
    <row r="603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</row>
    <row r="604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</row>
    <row r="605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</row>
    <row r="606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</row>
    <row r="607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</row>
    <row r="608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</row>
    <row r="609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</row>
    <row r="610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</row>
    <row r="61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</row>
    <row r="612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</row>
    <row r="613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</row>
    <row r="614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</row>
    <row r="615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</row>
    <row r="616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</row>
    <row r="617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</row>
    <row r="618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</row>
    <row r="619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</row>
    <row r="620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</row>
    <row r="62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</row>
    <row r="622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</row>
    <row r="623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</row>
    <row r="624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</row>
    <row r="625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</row>
    <row r="626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</row>
    <row r="627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</row>
    <row r="628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</row>
    <row r="629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</row>
    <row r="630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</row>
    <row r="63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</row>
    <row r="632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</row>
    <row r="633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</row>
    <row r="634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</row>
    <row r="635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</row>
    <row r="636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</row>
    <row r="637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</row>
    <row r="638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</row>
    <row r="639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</row>
    <row r="640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</row>
    <row r="64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</row>
    <row r="642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</row>
    <row r="643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</row>
    <row r="644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</row>
    <row r="645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</row>
    <row r="646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</row>
    <row r="647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</row>
    <row r="648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</row>
    <row r="649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</row>
    <row r="650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</row>
    <row r="65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</row>
    <row r="652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</row>
    <row r="653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</row>
    <row r="654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</row>
    <row r="655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</row>
    <row r="656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</row>
    <row r="657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</row>
    <row r="658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</row>
    <row r="659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</row>
    <row r="660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</row>
    <row r="66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</row>
    <row r="662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</row>
    <row r="663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</row>
    <row r="664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</row>
    <row r="665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</row>
    <row r="666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</row>
    <row r="667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</row>
    <row r="668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</row>
    <row r="669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</row>
    <row r="670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</row>
    <row r="67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</row>
    <row r="672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</row>
    <row r="673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</row>
    <row r="674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</row>
    <row r="675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</row>
    <row r="676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</row>
    <row r="677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</row>
    <row r="678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</row>
    <row r="679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</row>
    <row r="680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</row>
    <row r="68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</row>
    <row r="682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</row>
    <row r="683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</row>
    <row r="684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</row>
    <row r="685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</row>
    <row r="686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</row>
    <row r="687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</row>
    <row r="688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</row>
    <row r="689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</row>
    <row r="690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</row>
    <row r="69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</row>
    <row r="692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</row>
    <row r="693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</row>
    <row r="694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</row>
    <row r="695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</row>
    <row r="696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</row>
    <row r="697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</row>
    <row r="698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</row>
    <row r="699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</row>
    <row r="700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</row>
    <row r="70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</row>
    <row r="702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</row>
    <row r="703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</row>
    <row r="704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</row>
    <row r="705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</row>
    <row r="706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</row>
    <row r="707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</row>
    <row r="708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</row>
    <row r="709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</row>
    <row r="710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</row>
    <row r="71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</row>
    <row r="712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</row>
    <row r="713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</row>
    <row r="714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</row>
    <row r="715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</row>
    <row r="716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</row>
    <row r="717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</row>
    <row r="718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</row>
    <row r="719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</row>
    <row r="720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</row>
    <row r="72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</row>
    <row r="722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</row>
    <row r="723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</row>
    <row r="724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</row>
    <row r="725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</row>
    <row r="726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</row>
    <row r="727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</row>
    <row r="728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</row>
    <row r="729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</row>
    <row r="730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</row>
    <row r="73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</row>
    <row r="732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</row>
    <row r="733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</row>
    <row r="734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</row>
    <row r="735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</row>
    <row r="736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</row>
    <row r="737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</row>
    <row r="738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</row>
    <row r="739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</row>
    <row r="740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</row>
    <row r="74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</row>
    <row r="742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</row>
    <row r="743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</row>
    <row r="744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</row>
    <row r="745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</row>
    <row r="746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</row>
    <row r="747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</row>
    <row r="748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</row>
    <row r="749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</row>
    <row r="750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</row>
    <row r="75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</row>
    <row r="752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</row>
    <row r="753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</row>
    <row r="754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</row>
    <row r="755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</row>
    <row r="756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</row>
    <row r="757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</row>
    <row r="758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</row>
    <row r="759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</row>
    <row r="760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</row>
    <row r="76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</row>
    <row r="762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</row>
    <row r="763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</row>
    <row r="764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</row>
    <row r="765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</row>
    <row r="766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</row>
    <row r="767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</row>
    <row r="768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</row>
    <row r="769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</row>
    <row r="770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</row>
    <row r="77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</row>
    <row r="772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</row>
    <row r="773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</row>
    <row r="774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</row>
    <row r="775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</row>
    <row r="776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</row>
    <row r="777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</row>
    <row r="778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</row>
    <row r="779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</row>
    <row r="780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</row>
    <row r="78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</row>
    <row r="782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</row>
    <row r="783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</row>
    <row r="784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</row>
    <row r="785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</row>
    <row r="786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</row>
    <row r="787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</row>
    <row r="788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</row>
    <row r="789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</row>
    <row r="790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</row>
    <row r="79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</row>
    <row r="792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</row>
    <row r="793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</row>
    <row r="794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</row>
    <row r="795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</row>
    <row r="796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</row>
    <row r="797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</row>
    <row r="798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</row>
    <row r="799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</row>
    <row r="800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</row>
    <row r="80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</row>
    <row r="802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</row>
    <row r="803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</row>
    <row r="804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</row>
    <row r="805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</row>
    <row r="806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</row>
    <row r="807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</row>
    <row r="808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</row>
    <row r="809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</row>
    <row r="810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</row>
    <row r="81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</row>
    <row r="812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</row>
    <row r="813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</row>
    <row r="814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</row>
    <row r="815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</row>
    <row r="816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</row>
    <row r="817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</row>
    <row r="818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</row>
    <row r="819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</row>
    <row r="820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</row>
    <row r="82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</row>
    <row r="822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</row>
    <row r="823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</row>
    <row r="824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</row>
    <row r="825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</row>
    <row r="826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</row>
    <row r="827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</row>
    <row r="828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</row>
    <row r="829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</row>
    <row r="830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</row>
    <row r="83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</row>
    <row r="832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</row>
    <row r="833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</row>
    <row r="834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</row>
    <row r="835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</row>
    <row r="836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</row>
    <row r="837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</row>
    <row r="838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</row>
    <row r="839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</row>
    <row r="840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</row>
    <row r="84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</row>
    <row r="842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</row>
    <row r="843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</row>
    <row r="844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</row>
    <row r="845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</row>
    <row r="846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</row>
    <row r="847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</row>
    <row r="848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</row>
    <row r="849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</row>
    <row r="850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</row>
    <row r="85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</row>
    <row r="852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</row>
    <row r="853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</row>
    <row r="854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</row>
    <row r="855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</row>
    <row r="856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</row>
    <row r="857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</row>
    <row r="858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</row>
    <row r="859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</row>
    <row r="860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</row>
    <row r="86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</row>
    <row r="862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</row>
    <row r="863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</row>
    <row r="864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</row>
    <row r="865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</row>
    <row r="866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</row>
    <row r="867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</row>
    <row r="868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</row>
    <row r="869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</row>
    <row r="870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</row>
    <row r="87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</row>
    <row r="872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</row>
    <row r="873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</row>
    <row r="874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</row>
    <row r="875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</row>
    <row r="876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</row>
    <row r="877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</row>
    <row r="878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</row>
    <row r="879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</row>
    <row r="880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</row>
    <row r="88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</row>
    <row r="882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</row>
    <row r="883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</row>
    <row r="884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</row>
    <row r="885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</row>
    <row r="886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</row>
    <row r="887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</row>
    <row r="888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</row>
    <row r="889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</row>
    <row r="890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</row>
    <row r="89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</row>
    <row r="892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</row>
    <row r="893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</row>
    <row r="894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</row>
    <row r="895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</row>
    <row r="896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</row>
    <row r="897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</row>
    <row r="898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</row>
    <row r="899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</row>
    <row r="900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</row>
    <row r="90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</row>
    <row r="902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</row>
    <row r="903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</row>
    <row r="904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</row>
    <row r="905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</row>
    <row r="906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</row>
    <row r="907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</row>
    <row r="908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</row>
    <row r="909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</row>
    <row r="910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</row>
    <row r="91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</row>
    <row r="912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</row>
    <row r="913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</row>
    <row r="914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</row>
    <row r="915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</row>
    <row r="916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</row>
    <row r="917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</row>
    <row r="918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</row>
    <row r="919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</row>
    <row r="920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</row>
    <row r="92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</row>
    <row r="922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</row>
    <row r="923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</row>
    <row r="924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</row>
    <row r="925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</row>
    <row r="926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</row>
    <row r="927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</row>
    <row r="928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</row>
    <row r="929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</row>
    <row r="930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</row>
    <row r="93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</row>
    <row r="932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</row>
    <row r="933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</row>
    <row r="934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</row>
    <row r="935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</row>
    <row r="936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</row>
    <row r="937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</row>
    <row r="938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</row>
    <row r="939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</row>
    <row r="940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</row>
    <row r="94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</row>
    <row r="942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</row>
    <row r="943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</row>
    <row r="944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</row>
    <row r="945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</row>
    <row r="946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</row>
    <row r="947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</row>
    <row r="948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</row>
    <row r="949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</row>
    <row r="950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</row>
    <row r="95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</row>
    <row r="952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</row>
    <row r="953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</row>
    <row r="954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</row>
    <row r="955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</row>
    <row r="956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</row>
    <row r="957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</row>
    <row r="958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</row>
    <row r="959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</row>
    <row r="960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</row>
    <row r="96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</row>
    <row r="962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</row>
    <row r="963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</row>
    <row r="964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</row>
    <row r="965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</row>
    <row r="966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</row>
    <row r="967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</row>
    <row r="968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</row>
    <row r="969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</row>
    <row r="970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</row>
    <row r="97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</row>
    <row r="972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</row>
    <row r="973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</row>
    <row r="974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</row>
    <row r="975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</row>
    <row r="976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</row>
    <row r="977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</row>
    <row r="978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</row>
    <row r="979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</row>
    <row r="980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</row>
    <row r="98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</row>
    <row r="982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</row>
    <row r="983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</row>
    <row r="984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</row>
    <row r="985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</row>
    <row r="986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</row>
    <row r="987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</row>
    <row r="988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</row>
    <row r="989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</row>
    <row r="990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</row>
    <row r="99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</row>
    <row r="992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</row>
    <row r="993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</row>
    <row r="994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</row>
    <row r="995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</row>
    <row r="996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</row>
    <row r="997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</row>
    <row r="998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</row>
    <row r="999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</row>
    <row r="1000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</row>
    <row r="1001">
      <c r="A1001" s="155"/>
      <c r="B1001" s="155"/>
      <c r="C1001" s="155"/>
      <c r="D1001" s="155"/>
      <c r="E1001" s="155"/>
      <c r="F1001" s="155"/>
      <c r="G1001" s="155"/>
      <c r="H1001" s="155"/>
      <c r="I1001" s="155"/>
      <c r="J1001" s="155"/>
      <c r="K1001" s="155"/>
      <c r="L1001" s="155"/>
      <c r="M1001" s="155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5"/>
      <c r="X1001" s="155"/>
      <c r="Y1001" s="155"/>
      <c r="Z1001" s="155"/>
      <c r="AA1001" s="155"/>
      <c r="AB1001" s="155"/>
      <c r="AC1001" s="155"/>
      <c r="AD1001" s="155"/>
      <c r="AE1001" s="155"/>
    </row>
    <row r="1002">
      <c r="A1002" s="155"/>
      <c r="B1002" s="155"/>
      <c r="C1002" s="155"/>
      <c r="D1002" s="155"/>
      <c r="E1002" s="155"/>
      <c r="F1002" s="155"/>
      <c r="G1002" s="155"/>
      <c r="H1002" s="155"/>
      <c r="I1002" s="155"/>
      <c r="J1002" s="155"/>
      <c r="K1002" s="155"/>
      <c r="L1002" s="155"/>
      <c r="M1002" s="155"/>
      <c r="N1002" s="155"/>
      <c r="O1002" s="155"/>
      <c r="P1002" s="155"/>
      <c r="Q1002" s="155"/>
      <c r="R1002" s="155"/>
      <c r="S1002" s="155"/>
      <c r="T1002" s="155"/>
      <c r="U1002" s="155"/>
      <c r="V1002" s="155"/>
      <c r="W1002" s="155"/>
      <c r="X1002" s="155"/>
      <c r="Y1002" s="155"/>
      <c r="Z1002" s="155"/>
      <c r="AA1002" s="155"/>
      <c r="AB1002" s="155"/>
      <c r="AC1002" s="155"/>
      <c r="AD1002" s="155"/>
      <c r="AE1002" s="155"/>
    </row>
    <row r="1003">
      <c r="A1003" s="155"/>
      <c r="B1003" s="155"/>
      <c r="C1003" s="155"/>
      <c r="D1003" s="155"/>
      <c r="E1003" s="155"/>
      <c r="F1003" s="155"/>
      <c r="G1003" s="155"/>
      <c r="H1003" s="155"/>
      <c r="I1003" s="155"/>
      <c r="J1003" s="155"/>
      <c r="K1003" s="155"/>
      <c r="L1003" s="155"/>
      <c r="M1003" s="155"/>
      <c r="N1003" s="155"/>
      <c r="O1003" s="155"/>
      <c r="P1003" s="155"/>
      <c r="Q1003" s="155"/>
      <c r="R1003" s="155"/>
      <c r="S1003" s="155"/>
      <c r="T1003" s="155"/>
      <c r="U1003" s="155"/>
      <c r="V1003" s="155"/>
      <c r="W1003" s="155"/>
      <c r="X1003" s="155"/>
      <c r="Y1003" s="155"/>
      <c r="Z1003" s="155"/>
      <c r="AA1003" s="155"/>
      <c r="AB1003" s="155"/>
      <c r="AC1003" s="155"/>
      <c r="AD1003" s="155"/>
      <c r="AE1003" s="155"/>
    </row>
    <row r="1004">
      <c r="A1004" s="155"/>
      <c r="B1004" s="155"/>
      <c r="C1004" s="155"/>
      <c r="D1004" s="155"/>
      <c r="E1004" s="155"/>
      <c r="F1004" s="155"/>
      <c r="G1004" s="155"/>
      <c r="H1004" s="155"/>
      <c r="I1004" s="155"/>
      <c r="J1004" s="155"/>
      <c r="K1004" s="155"/>
      <c r="L1004" s="155"/>
      <c r="M1004" s="155"/>
      <c r="N1004" s="155"/>
      <c r="O1004" s="155"/>
      <c r="P1004" s="155"/>
      <c r="Q1004" s="155"/>
      <c r="R1004" s="155"/>
      <c r="S1004" s="155"/>
      <c r="T1004" s="155"/>
      <c r="U1004" s="155"/>
      <c r="V1004" s="155"/>
      <c r="W1004" s="155"/>
      <c r="X1004" s="155"/>
      <c r="Y1004" s="155"/>
      <c r="Z1004" s="155"/>
      <c r="AA1004" s="155"/>
      <c r="AB1004" s="155"/>
      <c r="AC1004" s="155"/>
      <c r="AD1004" s="155"/>
      <c r="AE1004" s="155"/>
    </row>
    <row r="1005">
      <c r="A1005" s="155"/>
      <c r="B1005" s="155"/>
      <c r="C1005" s="155"/>
      <c r="D1005" s="155"/>
      <c r="E1005" s="155"/>
      <c r="F1005" s="155"/>
      <c r="G1005" s="155"/>
      <c r="H1005" s="155"/>
      <c r="I1005" s="155"/>
      <c r="J1005" s="155"/>
      <c r="K1005" s="155"/>
      <c r="L1005" s="155"/>
      <c r="M1005" s="155"/>
      <c r="N1005" s="155"/>
      <c r="O1005" s="155"/>
      <c r="P1005" s="155"/>
      <c r="Q1005" s="155"/>
      <c r="R1005" s="155"/>
      <c r="S1005" s="155"/>
      <c r="T1005" s="155"/>
      <c r="U1005" s="155"/>
      <c r="V1005" s="155"/>
      <c r="W1005" s="155"/>
      <c r="X1005" s="155"/>
      <c r="Y1005" s="155"/>
      <c r="Z1005" s="155"/>
      <c r="AA1005" s="155"/>
      <c r="AB1005" s="155"/>
      <c r="AC1005" s="155"/>
      <c r="AD1005" s="155"/>
      <c r="AE1005" s="155"/>
    </row>
    <row r="1006">
      <c r="A1006" s="155"/>
      <c r="B1006" s="155"/>
      <c r="C1006" s="155"/>
      <c r="D1006" s="155"/>
      <c r="E1006" s="155"/>
      <c r="F1006" s="155"/>
      <c r="G1006" s="155"/>
      <c r="H1006" s="155"/>
      <c r="I1006" s="155"/>
      <c r="J1006" s="155"/>
      <c r="K1006" s="155"/>
      <c r="L1006" s="155"/>
      <c r="M1006" s="155"/>
      <c r="N1006" s="155"/>
      <c r="O1006" s="155"/>
      <c r="P1006" s="155"/>
      <c r="Q1006" s="155"/>
      <c r="R1006" s="155"/>
      <c r="S1006" s="155"/>
      <c r="T1006" s="155"/>
      <c r="U1006" s="155"/>
      <c r="V1006" s="155"/>
      <c r="W1006" s="155"/>
      <c r="X1006" s="155"/>
      <c r="Y1006" s="155"/>
      <c r="Z1006" s="155"/>
      <c r="AA1006" s="155"/>
      <c r="AB1006" s="155"/>
      <c r="AC1006" s="155"/>
      <c r="AD1006" s="155"/>
      <c r="AE1006" s="155"/>
    </row>
    <row r="1007">
      <c r="A1007" s="155"/>
      <c r="B1007" s="155"/>
      <c r="C1007" s="155"/>
      <c r="D1007" s="155"/>
      <c r="E1007" s="155"/>
      <c r="F1007" s="155"/>
      <c r="G1007" s="155"/>
      <c r="H1007" s="155"/>
      <c r="I1007" s="155"/>
      <c r="J1007" s="155"/>
      <c r="K1007" s="155"/>
      <c r="L1007" s="155"/>
      <c r="M1007" s="155"/>
      <c r="N1007" s="155"/>
      <c r="O1007" s="155"/>
      <c r="P1007" s="155"/>
      <c r="Q1007" s="155"/>
      <c r="R1007" s="155"/>
      <c r="S1007" s="155"/>
      <c r="T1007" s="155"/>
      <c r="U1007" s="155"/>
      <c r="V1007" s="155"/>
      <c r="W1007" s="155"/>
      <c r="X1007" s="155"/>
      <c r="Y1007" s="155"/>
      <c r="Z1007" s="155"/>
      <c r="AA1007" s="155"/>
      <c r="AB1007" s="155"/>
      <c r="AC1007" s="155"/>
      <c r="AD1007" s="155"/>
      <c r="AE1007" s="155"/>
    </row>
    <row r="1008">
      <c r="A1008" s="155"/>
      <c r="B1008" s="155"/>
      <c r="C1008" s="155"/>
      <c r="D1008" s="155"/>
      <c r="E1008" s="155"/>
      <c r="F1008" s="155"/>
      <c r="G1008" s="155"/>
      <c r="H1008" s="155"/>
      <c r="I1008" s="155"/>
      <c r="J1008" s="155"/>
      <c r="K1008" s="155"/>
      <c r="L1008" s="155"/>
      <c r="M1008" s="155"/>
      <c r="N1008" s="155"/>
      <c r="O1008" s="155"/>
      <c r="P1008" s="155"/>
      <c r="Q1008" s="155"/>
      <c r="R1008" s="155"/>
      <c r="S1008" s="155"/>
      <c r="T1008" s="155"/>
      <c r="U1008" s="155"/>
      <c r="V1008" s="155"/>
      <c r="W1008" s="155"/>
      <c r="X1008" s="155"/>
      <c r="Y1008" s="155"/>
      <c r="Z1008" s="155"/>
      <c r="AA1008" s="155"/>
      <c r="AB1008" s="155"/>
      <c r="AC1008" s="155"/>
      <c r="AD1008" s="155"/>
      <c r="AE1008" s="155"/>
    </row>
    <row r="1009">
      <c r="A1009" s="155"/>
      <c r="B1009" s="155"/>
      <c r="C1009" s="155"/>
      <c r="D1009" s="155"/>
      <c r="E1009" s="155"/>
      <c r="F1009" s="155"/>
      <c r="G1009" s="155"/>
      <c r="H1009" s="155"/>
      <c r="I1009" s="155"/>
      <c r="J1009" s="155"/>
      <c r="K1009" s="155"/>
      <c r="L1009" s="155"/>
      <c r="M1009" s="155"/>
      <c r="N1009" s="155"/>
      <c r="O1009" s="155"/>
      <c r="P1009" s="155"/>
      <c r="Q1009" s="155"/>
      <c r="R1009" s="155"/>
      <c r="S1009" s="155"/>
      <c r="T1009" s="155"/>
      <c r="U1009" s="155"/>
      <c r="V1009" s="155"/>
      <c r="W1009" s="155"/>
      <c r="X1009" s="155"/>
      <c r="Y1009" s="155"/>
      <c r="Z1009" s="155"/>
      <c r="AA1009" s="155"/>
      <c r="AB1009" s="155"/>
      <c r="AC1009" s="155"/>
      <c r="AD1009" s="155"/>
      <c r="AE1009" s="155"/>
    </row>
    <row r="1010">
      <c r="A1010" s="155"/>
      <c r="B1010" s="155"/>
      <c r="C1010" s="155"/>
      <c r="D1010" s="155"/>
      <c r="E1010" s="155"/>
      <c r="F1010" s="155"/>
      <c r="G1010" s="155"/>
      <c r="H1010" s="155"/>
      <c r="I1010" s="155"/>
      <c r="J1010" s="155"/>
      <c r="K1010" s="155"/>
      <c r="L1010" s="155"/>
      <c r="M1010" s="155"/>
      <c r="N1010" s="155"/>
      <c r="O1010" s="155"/>
      <c r="P1010" s="155"/>
      <c r="Q1010" s="155"/>
      <c r="R1010" s="155"/>
      <c r="S1010" s="155"/>
      <c r="T1010" s="155"/>
      <c r="U1010" s="155"/>
      <c r="V1010" s="155"/>
      <c r="W1010" s="155"/>
      <c r="X1010" s="155"/>
      <c r="Y1010" s="155"/>
      <c r="Z1010" s="155"/>
      <c r="AA1010" s="155"/>
      <c r="AB1010" s="155"/>
      <c r="AC1010" s="155"/>
      <c r="AD1010" s="155"/>
      <c r="AE1010" s="155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I9"/>
    <hyperlink r:id="rId10" ref="G10"/>
    <hyperlink r:id="rId11" ref="G11"/>
    <hyperlink r:id="rId12" ref="G12"/>
    <hyperlink r:id="rId13" ref="I12"/>
    <hyperlink r:id="rId14" ref="N12"/>
    <hyperlink r:id="rId15" ref="G13"/>
    <hyperlink r:id="rId16" ref="G14"/>
    <hyperlink r:id="rId17" ref="I14"/>
    <hyperlink r:id="rId18" ref="G15"/>
    <hyperlink r:id="rId19" ref="G16"/>
    <hyperlink r:id="rId20" ref="I16"/>
    <hyperlink r:id="rId21" ref="G17"/>
    <hyperlink r:id="rId22" ref="G18"/>
    <hyperlink r:id="rId23" ref="G19"/>
    <hyperlink r:id="rId24" ref="G20"/>
    <hyperlink r:id="rId25" ref="G21"/>
    <hyperlink r:id="rId26" ref="G22"/>
    <hyperlink r:id="rId27" ref="G23"/>
    <hyperlink r:id="rId28" ref="G24"/>
    <hyperlink r:id="rId29" ref="G25"/>
    <hyperlink r:id="rId30" ref="G26"/>
    <hyperlink r:id="rId31" ref="G27"/>
    <hyperlink r:id="rId32" ref="G28"/>
    <hyperlink r:id="rId33" ref="G29"/>
    <hyperlink r:id="rId34" ref="H29"/>
    <hyperlink r:id="rId35" ref="I29"/>
    <hyperlink r:id="rId36" ref="N29"/>
    <hyperlink r:id="rId37" ref="G30"/>
    <hyperlink r:id="rId38" ref="G31"/>
    <hyperlink r:id="rId39" ref="I31"/>
    <hyperlink r:id="rId40" ref="N31"/>
    <hyperlink r:id="rId41" ref="G32"/>
    <hyperlink r:id="rId42" ref="G34"/>
    <hyperlink r:id="rId43" ref="G35"/>
    <hyperlink r:id="rId44" ref="G37"/>
    <hyperlink r:id="rId45" ref="I37"/>
    <hyperlink r:id="rId46" ref="G38"/>
    <hyperlink r:id="rId47" ref="N38"/>
    <hyperlink r:id="rId48" ref="G39"/>
    <hyperlink r:id="rId49" ref="G40"/>
    <hyperlink r:id="rId50" ref="G41"/>
    <hyperlink r:id="rId51" ref="G42"/>
    <hyperlink r:id="rId52" ref="G43"/>
    <hyperlink r:id="rId53" ref="G45"/>
    <hyperlink r:id="rId54" ref="G46"/>
    <hyperlink r:id="rId55" ref="N46"/>
    <hyperlink r:id="rId56" ref="G47"/>
    <hyperlink r:id="rId57" ref="G48"/>
    <hyperlink r:id="rId58" ref="G49"/>
    <hyperlink r:id="rId59" ref="I49"/>
    <hyperlink r:id="rId60" ref="N49"/>
    <hyperlink r:id="rId61" ref="G50"/>
    <hyperlink r:id="rId62" ref="J50"/>
    <hyperlink r:id="rId63" ref="G51"/>
    <hyperlink r:id="rId64" ref="G52"/>
    <hyperlink r:id="rId65" ref="G53"/>
    <hyperlink r:id="rId66" ref="G54"/>
    <hyperlink r:id="rId67" ref="G55"/>
    <hyperlink r:id="rId68" ref="I55"/>
    <hyperlink r:id="rId69" ref="G56"/>
    <hyperlink r:id="rId70" ref="G57"/>
    <hyperlink r:id="rId71" ref="N57"/>
    <hyperlink r:id="rId72" ref="G58"/>
    <hyperlink r:id="rId73" ref="G59"/>
    <hyperlink r:id="rId74" ref="I59"/>
    <hyperlink r:id="rId75" ref="G60"/>
    <hyperlink r:id="rId76" ref="G61"/>
    <hyperlink r:id="rId77" ref="G62"/>
    <hyperlink r:id="rId78" ref="G63"/>
    <hyperlink r:id="rId79" ref="G64"/>
    <hyperlink r:id="rId80" ref="G65"/>
    <hyperlink r:id="rId81" ref="I65"/>
    <hyperlink r:id="rId82" ref="G66"/>
    <hyperlink r:id="rId83" ref="G67"/>
    <hyperlink r:id="rId84" ref="G68"/>
    <hyperlink r:id="rId85" ref="G69"/>
    <hyperlink r:id="rId86" ref="H69"/>
    <hyperlink r:id="rId87" ref="G70"/>
    <hyperlink r:id="rId88" ref="H70"/>
    <hyperlink r:id="rId89" ref="G71"/>
    <hyperlink r:id="rId90" ref="G72"/>
    <hyperlink r:id="rId91" ref="G73"/>
    <hyperlink r:id="rId92" ref="G74"/>
    <hyperlink r:id="rId93" ref="G75"/>
    <hyperlink r:id="rId94" ref="G76"/>
    <hyperlink r:id="rId95" ref="G77"/>
    <hyperlink r:id="rId96" ref="G78"/>
    <hyperlink r:id="rId97" ref="G79"/>
    <hyperlink r:id="rId98" ref="G80"/>
    <hyperlink r:id="rId99" ref="I80"/>
    <hyperlink r:id="rId100" ref="N80"/>
    <hyperlink r:id="rId101" ref="G81"/>
    <hyperlink r:id="rId102" ref="G82"/>
    <hyperlink r:id="rId103" ref="G84"/>
    <hyperlink r:id="rId104" ref="G85"/>
    <hyperlink r:id="rId105" ref="G86"/>
    <hyperlink r:id="rId106" ref="G87"/>
    <hyperlink r:id="rId107" ref="G88"/>
    <hyperlink r:id="rId108" ref="G89"/>
    <hyperlink r:id="rId109" ref="G90"/>
    <hyperlink r:id="rId110" ref="G91"/>
    <hyperlink r:id="rId111" ref="G92"/>
    <hyperlink r:id="rId112" ref="G93"/>
    <hyperlink r:id="rId113" ref="G94"/>
    <hyperlink r:id="rId114" ref="G95"/>
    <hyperlink r:id="rId115" ref="G96"/>
    <hyperlink r:id="rId116" ref="G97"/>
    <hyperlink r:id="rId117" ref="G98"/>
    <hyperlink r:id="rId118" ref="G99"/>
    <hyperlink r:id="rId119" ref="G100"/>
    <hyperlink r:id="rId120" ref="G101"/>
    <hyperlink r:id="rId121" ref="G103"/>
    <hyperlink r:id="rId122" ref="G104"/>
    <hyperlink r:id="rId123" ref="G105"/>
    <hyperlink r:id="rId124" ref="I105"/>
    <hyperlink r:id="rId125" ref="G106"/>
    <hyperlink r:id="rId126" ref="G107"/>
    <hyperlink r:id="rId127" ref="G108"/>
    <hyperlink r:id="rId128" ref="G109"/>
    <hyperlink r:id="rId129" ref="G110"/>
    <hyperlink r:id="rId130" ref="H110"/>
    <hyperlink r:id="rId131" ref="G111"/>
    <hyperlink r:id="rId132" ref="G112"/>
    <hyperlink r:id="rId133" ref="G113"/>
    <hyperlink r:id="rId134" ref="G114"/>
    <hyperlink r:id="rId135" ref="G115"/>
    <hyperlink r:id="rId136" ref="H115"/>
    <hyperlink r:id="rId137" ref="G117"/>
    <hyperlink r:id="rId138" ref="G118"/>
    <hyperlink r:id="rId139" ref="G119"/>
    <hyperlink r:id="rId140" ref="G120"/>
    <hyperlink r:id="rId141" ref="G121"/>
    <hyperlink r:id="rId142" ref="G122"/>
    <hyperlink r:id="rId143" ref="G123"/>
    <hyperlink r:id="rId144" ref="G124"/>
    <hyperlink r:id="rId145" ref="G125"/>
    <hyperlink r:id="rId146" ref="G126"/>
    <hyperlink r:id="rId147" ref="G127"/>
    <hyperlink r:id="rId148" ref="G128"/>
    <hyperlink r:id="rId149" ref="G129"/>
    <hyperlink r:id="rId150" ref="G130"/>
    <hyperlink r:id="rId151" ref="G131"/>
    <hyperlink r:id="rId152" ref="G132"/>
    <hyperlink r:id="rId153" ref="G133"/>
    <hyperlink r:id="rId154" ref="G134"/>
    <hyperlink r:id="rId155" ref="I134"/>
    <hyperlink r:id="rId156" ref="G135"/>
    <hyperlink r:id="rId157" ref="G136"/>
    <hyperlink r:id="rId158" ref="G137"/>
    <hyperlink r:id="rId159" ref="G138"/>
    <hyperlink r:id="rId160" ref="G139"/>
    <hyperlink r:id="rId161" ref="G140"/>
    <hyperlink r:id="rId162" ref="G141"/>
    <hyperlink r:id="rId163" ref="G143"/>
    <hyperlink r:id="rId164" ref="I143"/>
    <hyperlink r:id="rId165" ref="G144"/>
    <hyperlink r:id="rId166" ref="N144"/>
    <hyperlink r:id="rId167" ref="G146"/>
    <hyperlink r:id="rId168" ref="G147"/>
    <hyperlink r:id="rId169" ref="N147"/>
    <hyperlink r:id="rId170" ref="G148"/>
    <hyperlink r:id="rId171" ref="G149"/>
    <hyperlink r:id="rId172" ref="G150"/>
    <hyperlink r:id="rId173" ref="I150"/>
    <hyperlink r:id="rId174" ref="G152"/>
    <hyperlink r:id="rId175" ref="G153"/>
    <hyperlink r:id="rId176" ref="G154"/>
    <hyperlink r:id="rId177" ref="G156"/>
    <hyperlink r:id="rId178" ref="G158"/>
    <hyperlink r:id="rId179" ref="I158"/>
    <hyperlink r:id="rId180" ref="G159"/>
    <hyperlink r:id="rId181" ref="G160"/>
    <hyperlink r:id="rId182" ref="G161"/>
    <hyperlink r:id="rId183" ref="G163"/>
    <hyperlink r:id="rId184" ref="G164"/>
    <hyperlink r:id="rId185" ref="G166"/>
    <hyperlink r:id="rId186" ref="G167"/>
    <hyperlink r:id="rId187" ref="G168"/>
    <hyperlink r:id="rId188" ref="G169"/>
    <hyperlink r:id="rId189" ref="G171"/>
    <hyperlink r:id="rId190" ref="G172"/>
    <hyperlink r:id="rId191" ref="G174"/>
    <hyperlink r:id="rId192" ref="G175"/>
    <hyperlink r:id="rId193" ref="G177"/>
    <hyperlink r:id="rId194" ref="G178"/>
    <hyperlink r:id="rId195" ref="G179"/>
    <hyperlink r:id="rId196" ref="G180"/>
    <hyperlink r:id="rId197" ref="G181"/>
    <hyperlink r:id="rId198" ref="N181"/>
    <hyperlink r:id="rId199" ref="G182"/>
    <hyperlink r:id="rId200" ref="H182"/>
    <hyperlink r:id="rId201" ref="G183"/>
    <hyperlink r:id="rId202" ref="G184"/>
    <hyperlink r:id="rId203" ref="G186"/>
    <hyperlink r:id="rId204" ref="G187"/>
    <hyperlink r:id="rId205" ref="H187"/>
    <hyperlink r:id="rId206" ref="G188"/>
    <hyperlink r:id="rId207" ref="G189"/>
    <hyperlink r:id="rId208" ref="I190"/>
    <hyperlink r:id="rId209" ref="G191"/>
    <hyperlink r:id="rId210" ref="G192"/>
    <hyperlink r:id="rId211" ref="G193"/>
    <hyperlink r:id="rId212" ref="G194"/>
    <hyperlink r:id="rId213" ref="G195"/>
    <hyperlink r:id="rId214" ref="G196"/>
    <hyperlink r:id="rId215" ref="G198"/>
    <hyperlink r:id="rId216" ref="G199"/>
    <hyperlink r:id="rId217" ref="G200"/>
    <hyperlink r:id="rId218" ref="G201"/>
    <hyperlink r:id="rId219" ref="G202"/>
    <hyperlink r:id="rId220" ref="H202"/>
    <hyperlink r:id="rId221" ref="G203"/>
    <hyperlink r:id="rId222" ref="G204"/>
    <hyperlink r:id="rId223" ref="G205"/>
    <hyperlink r:id="rId224" ref="M205"/>
    <hyperlink r:id="rId225" ref="G206"/>
    <hyperlink r:id="rId226" ref="G207"/>
    <hyperlink r:id="rId227" ref="G209"/>
    <hyperlink r:id="rId228" ref="K209"/>
    <hyperlink r:id="rId229" ref="G210"/>
    <hyperlink r:id="rId230" ref="M210"/>
    <hyperlink r:id="rId231" ref="G211"/>
    <hyperlink r:id="rId232" ref="G212"/>
    <hyperlink r:id="rId233" ref="G213"/>
    <hyperlink r:id="rId234" ref="G214"/>
    <hyperlink r:id="rId235" ref="G215"/>
    <hyperlink r:id="rId236" ref="H215"/>
    <hyperlink r:id="rId237" ref="I215"/>
    <hyperlink r:id="rId238" ref="G216"/>
    <hyperlink r:id="rId239" ref="N216"/>
    <hyperlink r:id="rId240" ref="G217"/>
    <hyperlink r:id="rId241" ref="G218"/>
    <hyperlink r:id="rId242" ref="G219"/>
    <hyperlink r:id="rId243" ref="G220"/>
    <hyperlink r:id="rId244" ref="G221"/>
    <hyperlink r:id="rId245" ref="I221"/>
    <hyperlink r:id="rId246" ref="G222"/>
    <hyperlink r:id="rId247" ref="G223"/>
    <hyperlink r:id="rId248" ref="G224"/>
    <hyperlink r:id="rId249" ref="G225"/>
    <hyperlink r:id="rId250" ref="G226"/>
    <hyperlink r:id="rId251" ref="I226"/>
    <hyperlink r:id="rId252" ref="G227"/>
    <hyperlink r:id="rId253" ref="H227"/>
    <hyperlink r:id="rId254" ref="G228"/>
    <hyperlink r:id="rId255" ref="G229"/>
    <hyperlink r:id="rId256" ref="I229"/>
    <hyperlink r:id="rId257" ref="G230"/>
    <hyperlink r:id="rId258" ref="G231"/>
    <hyperlink r:id="rId259" ref="G232"/>
    <hyperlink r:id="rId260" ref="H232"/>
    <hyperlink r:id="rId261" ref="G233"/>
    <hyperlink r:id="rId262" ref="G234"/>
    <hyperlink r:id="rId263" ref="G235"/>
    <hyperlink r:id="rId264" ref="G236"/>
    <hyperlink r:id="rId265" ref="G237"/>
    <hyperlink r:id="rId266" ref="G238"/>
    <hyperlink r:id="rId267" ref="H238"/>
    <hyperlink r:id="rId268" ref="G239"/>
    <hyperlink r:id="rId269" ref="G240"/>
    <hyperlink r:id="rId270" ref="G241"/>
    <hyperlink r:id="rId271" ref="G242"/>
    <hyperlink r:id="rId272" ref="G243"/>
    <hyperlink r:id="rId273" ref="G244"/>
    <hyperlink r:id="rId274" ref="G245"/>
    <hyperlink r:id="rId275" ref="G246"/>
    <hyperlink r:id="rId276" ref="G247"/>
    <hyperlink r:id="rId277" ref="G249"/>
    <hyperlink r:id="rId278" ref="G250"/>
    <hyperlink r:id="rId279" ref="G251"/>
    <hyperlink r:id="rId280" ref="G252"/>
    <hyperlink r:id="rId281" ref="G253"/>
    <hyperlink r:id="rId282" ref="G254"/>
    <hyperlink r:id="rId283" ref="J254"/>
    <hyperlink r:id="rId284" ref="K254"/>
    <hyperlink r:id="rId285" ref="G255"/>
    <hyperlink r:id="rId286" ref="G256"/>
    <hyperlink r:id="rId287" ref="G257"/>
    <hyperlink r:id="rId288" ref="G258"/>
    <hyperlink r:id="rId289" ref="G259"/>
    <hyperlink r:id="rId290" ref="G260"/>
    <hyperlink r:id="rId291" ref="G261"/>
    <hyperlink r:id="rId292" ref="G262"/>
    <hyperlink r:id="rId293" ref="G263"/>
    <hyperlink r:id="rId294" ref="L263"/>
    <hyperlink r:id="rId295" ref="G264"/>
    <hyperlink r:id="rId296" ref="G265"/>
    <hyperlink r:id="rId297" ref="G266"/>
    <hyperlink r:id="rId298" ref="G267"/>
    <hyperlink r:id="rId299" ref="I267"/>
    <hyperlink r:id="rId300" ref="G268"/>
    <hyperlink r:id="rId301" ref="I268"/>
    <hyperlink r:id="rId302" ref="N268"/>
    <hyperlink r:id="rId303" ref="G269"/>
    <hyperlink r:id="rId304" ref="H269"/>
    <hyperlink r:id="rId305" ref="G270"/>
    <hyperlink r:id="rId306" ref="G271"/>
    <hyperlink r:id="rId307" ref="G272"/>
    <hyperlink r:id="rId308" ref="G273"/>
    <hyperlink r:id="rId309" ref="G274"/>
    <hyperlink r:id="rId310" ref="G275"/>
    <hyperlink r:id="rId311" ref="G276"/>
    <hyperlink r:id="rId312" ref="G277"/>
    <hyperlink r:id="rId313" ref="G278"/>
    <hyperlink r:id="rId314" ref="G279"/>
    <hyperlink r:id="rId315" ref="G280"/>
    <hyperlink r:id="rId316" ref="I280"/>
    <hyperlink r:id="rId317" ref="G281"/>
    <hyperlink r:id="rId318" ref="G282"/>
    <hyperlink r:id="rId319" ref="I282"/>
    <hyperlink r:id="rId320" ref="N282"/>
    <hyperlink r:id="rId321" ref="G283"/>
    <hyperlink r:id="rId322" ref="I283"/>
    <hyperlink r:id="rId323" ref="G284"/>
    <hyperlink r:id="rId324" ref="G285"/>
    <hyperlink r:id="rId325" ref="G286"/>
    <hyperlink r:id="rId326" ref="G287"/>
    <hyperlink r:id="rId327" ref="I287"/>
    <hyperlink r:id="rId328" ref="G288"/>
    <hyperlink r:id="rId329" ref="G289"/>
    <hyperlink r:id="rId330" ref="G290"/>
    <hyperlink r:id="rId331" ref="G291"/>
    <hyperlink r:id="rId332" ref="G292"/>
    <hyperlink r:id="rId333" ref="G293"/>
    <hyperlink r:id="rId334" ref="G294"/>
    <hyperlink r:id="rId335" ref="M294"/>
    <hyperlink r:id="rId336" ref="G295"/>
    <hyperlink r:id="rId337" ref="H295"/>
    <hyperlink r:id="rId338" ref="I295"/>
    <hyperlink r:id="rId339" ref="G296"/>
    <hyperlink r:id="rId340" ref="N296"/>
    <hyperlink r:id="rId341" ref="G297"/>
    <hyperlink r:id="rId342" ref="G299"/>
    <hyperlink r:id="rId343" ref="G300"/>
    <hyperlink r:id="rId344" ref="A301"/>
    <hyperlink r:id="rId345" ref="G301"/>
    <hyperlink r:id="rId346" ref="G302"/>
    <hyperlink r:id="rId347" ref="H302"/>
  </hyperlinks>
  <drawing r:id="rId348"/>
</worksheet>
</file>